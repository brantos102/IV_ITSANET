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V" sheetId="1" state="visible" r:id="rId1"/>
  </sheets>
  <definedNames>
    <definedName name="_xlnm._FilterDatabase" localSheetId="0" hidden="1">'REV'!$A$1:$P$120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 Light"/>
      <family val="2"/>
      <b val="1"/>
      <color rgb="FF000000"/>
      <sz val="12"/>
    </font>
    <font>
      <name val="Calibri Light"/>
      <family val="2"/>
      <b val="1"/>
      <color theme="0"/>
      <sz val="12"/>
    </font>
    <font>
      <name val="Calibri Light"/>
      <family val="2"/>
      <color theme="1"/>
      <sz val="12"/>
    </font>
    <font>
      <name val="Calibri Light"/>
      <family val="2"/>
      <color indexed="8"/>
      <sz val="12"/>
    </font>
  </fonts>
  <fills count="4">
    <fill>
      <patternFill/>
    </fill>
    <fill>
      <patternFill patternType="gray125"/>
    </fill>
    <fill>
      <patternFill patternType="solid">
        <fgColor theme="7" tint="0.3997009186071352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2" fontId="3" fillId="0" borderId="1" applyAlignment="1" pivotButton="0" quotePrefix="0" xfId="0">
      <alignment vertical="center"/>
    </xf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zoomScale="70" zoomScaleNormal="70" workbookViewId="0">
      <selection activeCell="A1" sqref="A1"/>
    </sheetView>
  </sheetViews>
  <sheetFormatPr baseColWidth="10" defaultRowHeight="14.4"/>
  <cols>
    <col width="21.6640625" bestFit="1" customWidth="1" min="1" max="1"/>
    <col width="54.109375" bestFit="1" customWidth="1" min="2" max="2"/>
    <col width="24.5546875" bestFit="1" customWidth="1" min="3" max="3"/>
    <col width="49.77734375" bestFit="1" customWidth="1" style="1" min="4" max="4"/>
    <col width="15.33203125" bestFit="1" customWidth="1" min="5" max="5"/>
    <col width="15.21875" bestFit="1" customWidth="1" min="6" max="6"/>
    <col width="16.109375" bestFit="1" customWidth="1" min="7" max="7"/>
    <col width="31.88671875" bestFit="1" customWidth="1" min="8" max="8"/>
    <col width="14.6640625" bestFit="1" customWidth="1" min="9" max="9"/>
    <col width="13.5546875" bestFit="1" customWidth="1" min="10" max="10"/>
    <col width="15" bestFit="1" customWidth="1" min="11" max="11"/>
    <col width="11.6640625" bestFit="1" customWidth="1" min="12" max="12"/>
    <col width="8.21875" customWidth="1" min="13" max="13"/>
    <col width="15.5546875" bestFit="1" customWidth="1" min="14" max="14"/>
    <col width="19" bestFit="1" customWidth="1" min="15" max="15"/>
    <col width="14.21875" bestFit="1" customWidth="1" min="16" max="16"/>
  </cols>
  <sheetData>
    <row r="1" ht="31.2" customFormat="1" customHeight="1" s="7">
      <c r="A1" s="3" t="inlineStr">
        <is>
          <t>ITEM</t>
        </is>
      </c>
      <c r="B1" s="3" t="inlineStr">
        <is>
          <t>Descripción</t>
        </is>
      </c>
      <c r="C1" s="3" t="inlineStr">
        <is>
          <t>ReferenciaPedido</t>
        </is>
      </c>
      <c r="D1" s="3" t="inlineStr">
        <is>
          <t>Factura</t>
        </is>
      </c>
      <c r="E1" s="3" t="inlineStr">
        <is>
          <t>Cantidad</t>
        </is>
      </c>
      <c r="F1" s="3" t="inlineStr">
        <is>
          <t>PrecioUnit</t>
        </is>
      </c>
      <c r="G1" s="3" t="inlineStr">
        <is>
          <t>PrecioTotal</t>
        </is>
      </c>
      <c r="H1" s="3" t="inlineStr">
        <is>
          <t>Numerodepiezareemplazo</t>
        </is>
      </c>
      <c r="I1" s="3" t="inlineStr">
        <is>
          <t>Embarque</t>
        </is>
      </c>
      <c r="J1" s="4" t="inlineStr">
        <is>
          <t>Cantidad Física</t>
        </is>
      </c>
      <c r="K1" s="5" t="inlineStr">
        <is>
          <t>Validación</t>
        </is>
      </c>
      <c r="L1" s="5" t="inlineStr">
        <is>
          <t>PALLET</t>
        </is>
      </c>
      <c r="M1" s="5" t="inlineStr">
        <is>
          <t>CODIGO BARRA</t>
        </is>
      </c>
      <c r="N1" s="5" t="inlineStr">
        <is>
          <t>COD/PROD</t>
        </is>
      </c>
      <c r="O1" s="5" t="inlineStr">
        <is>
          <t>OBSERVACION</t>
        </is>
      </c>
      <c r="P1" s="5" t="inlineStr">
        <is>
          <t>ok</t>
        </is>
      </c>
    </row>
    <row r="2" ht="15.6" customFormat="1" customHeight="1" s="7">
      <c r="A2" s="8" t="inlineStr">
        <is>
          <t>3610072DRS0100</t>
        </is>
      </c>
      <c r="B2" s="8" t="inlineStr">
        <is>
          <t>LWR ARM ASSY,FR RH</t>
        </is>
      </c>
      <c r="C2" s="9" t="inlineStr">
        <is>
          <t>EEC1000SP260408002AW</t>
        </is>
      </c>
      <c r="D2" s="10" t="inlineStr">
        <is>
          <t>EEC1000PL26040005SA</t>
        </is>
      </c>
      <c r="E2" s="9" t="n">
        <v>1</v>
      </c>
      <c r="F2" s="9" t="n">
        <v>102.44</v>
      </c>
      <c r="G2" s="11" t="n">
        <v>102.44</v>
      </c>
      <c r="H2" s="9" t="n"/>
      <c r="I2" s="9" t="inlineStr">
        <is>
          <t>RMGAC03228</t>
        </is>
      </c>
      <c r="J2" s="6" t="n"/>
      <c r="K2" s="2">
        <f>IF(J2="","",IF(J2=E2,"Ok",IF(J2&lt;E2,"Faltante",IF(J2&gt;E2,"Sobrante",""))))</f>
        <v/>
      </c>
      <c r="L2" s="2" t="n"/>
      <c r="M2" s="2" t="n"/>
      <c r="N2" s="2" t="n"/>
      <c r="O2" s="2" t="n"/>
      <c r="P2" s="2">
        <f>VLOOKUP(A2,MAESTRO__4[[producto_id]:[nombre]],4,0)</f>
        <v/>
      </c>
    </row>
    <row r="3" ht="15.6" customFormat="1" customHeight="1" s="7">
      <c r="A3" s="8" t="inlineStr">
        <is>
          <t>7305001ADU0000</t>
        </is>
      </c>
      <c r="B3" s="8" t="inlineStr">
        <is>
          <t>REAR LAMP A,LH</t>
        </is>
      </c>
      <c r="C3" s="9" t="inlineStr">
        <is>
          <t>EEC1000SP260408002AW</t>
        </is>
      </c>
      <c r="D3" s="10" t="inlineStr">
        <is>
          <t>EEC1000PL26040005SA</t>
        </is>
      </c>
      <c r="E3" s="9" t="n">
        <v>6</v>
      </c>
      <c r="F3" s="9" t="n">
        <v>58.05</v>
      </c>
      <c r="G3" s="11" t="n">
        <v>348.3</v>
      </c>
      <c r="H3" s="9" t="n"/>
      <c r="I3" s="9" t="inlineStr">
        <is>
          <t>RMGAC03228</t>
        </is>
      </c>
      <c r="J3" s="6" t="n"/>
      <c r="K3" s="2">
        <f>IF(J3="","",IF(J3=E3,"Ok",IF(J3&lt;E3,"Faltante",IF(J3&gt;E3,"Sobrante",""))))</f>
        <v/>
      </c>
      <c r="L3" s="2" t="n"/>
      <c r="M3" s="2" t="n"/>
      <c r="N3" s="2" t="n"/>
      <c r="O3" s="2" t="n"/>
      <c r="P3" s="2">
        <f>VLOOKUP(A3,MAESTRO__4[[producto_id]:[nombre]],4,0)</f>
        <v/>
      </c>
    </row>
    <row r="4" ht="15.6" customFormat="1" customHeight="1" s="7">
      <c r="A4" s="8" t="inlineStr">
        <is>
          <t>2310004ASV0100</t>
        </is>
      </c>
      <c r="B4" s="8" t="inlineStr">
        <is>
          <t>RADIATOR</t>
        </is>
      </c>
      <c r="C4" s="9" t="inlineStr">
        <is>
          <t>EEC1000SP260408002AW</t>
        </is>
      </c>
      <c r="D4" s="10" t="inlineStr">
        <is>
          <t>EEC1000PL26040005SA</t>
        </is>
      </c>
      <c r="E4" s="9" t="n">
        <v>1</v>
      </c>
      <c r="F4" s="9" t="n">
        <v>104.94</v>
      </c>
      <c r="G4" s="11" t="n">
        <v>104.94</v>
      </c>
      <c r="H4" s="9" t="n"/>
      <c r="I4" s="9" t="inlineStr">
        <is>
          <t>RMGAC03228</t>
        </is>
      </c>
      <c r="J4" s="6" t="n"/>
      <c r="K4" s="2">
        <f>IF(J4="","",IF(J4=E4,"Ok",IF(J4&lt;E4,"Faltante",IF(J4&gt;E4,"Sobrante",""))))</f>
        <v/>
      </c>
      <c r="L4" s="2" t="n"/>
      <c r="M4" s="2" t="n"/>
      <c r="N4" s="2" t="n"/>
      <c r="O4" s="2" t="n"/>
      <c r="P4" s="2">
        <f>VLOOKUP(A4,MAESTRO__4[[producto_id]:[nombre]],4,0)</f>
        <v/>
      </c>
    </row>
    <row r="5" ht="15.6" customFormat="1" customHeight="1" s="7">
      <c r="A5" s="12" t="inlineStr">
        <is>
          <t>7305002ADU0000</t>
        </is>
      </c>
      <c r="B5" s="12" t="inlineStr">
        <is>
          <t>REAR LAMP A,RH</t>
        </is>
      </c>
      <c r="C5" s="12" t="inlineStr">
        <is>
          <t>EEC1000SP260408002AW</t>
        </is>
      </c>
      <c r="D5" s="2" t="inlineStr">
        <is>
          <t>EEC1000PL26040005SA</t>
        </is>
      </c>
      <c r="E5" s="12" t="n">
        <v>4</v>
      </c>
      <c r="F5" s="12" t="n">
        <v>58.05</v>
      </c>
      <c r="G5" s="12" t="n">
        <v>232.2</v>
      </c>
      <c r="H5" s="12" t="n"/>
      <c r="I5" s="12" t="inlineStr">
        <is>
          <t>RMGAC03228</t>
        </is>
      </c>
      <c r="J5" s="6" t="n"/>
      <c r="K5" s="2">
        <f>IF(J5="","",IF(J5=E5,"Ok",IF(J5&lt;E5,"Faltante",IF(J5&gt;E5,"Sobrante",""))))</f>
        <v/>
      </c>
      <c r="L5" s="2" t="n"/>
      <c r="M5" s="2" t="n"/>
      <c r="N5" s="2" t="n"/>
      <c r="O5" s="2" t="n"/>
      <c r="P5" s="2">
        <f>VLOOKUP(A5,MAESTRO__4[[producto_id]:[nombre]],4,0)</f>
        <v/>
      </c>
    </row>
    <row r="6" ht="15.6" customFormat="1" customHeight="1" s="7">
      <c r="A6" s="12" t="inlineStr">
        <is>
          <t>7165231BAF0000L2Z</t>
        </is>
      </c>
      <c r="B6" s="12" t="inlineStr">
        <is>
          <t>GARNISH ,LAMP,FR,LH</t>
        </is>
      </c>
      <c r="C6" s="12" t="inlineStr">
        <is>
          <t>EEC1000SP260408002AW</t>
        </is>
      </c>
      <c r="D6" s="2" t="inlineStr">
        <is>
          <t>EEC1000PL26040005SA</t>
        </is>
      </c>
      <c r="E6" s="12" t="n">
        <v>1</v>
      </c>
      <c r="F6" s="12" t="n">
        <v>17.61</v>
      </c>
      <c r="G6" s="12" t="n">
        <v>17.61</v>
      </c>
      <c r="H6" s="12" t="n"/>
      <c r="I6" s="12" t="inlineStr">
        <is>
          <t>RMGAC03228</t>
        </is>
      </c>
      <c r="J6" s="6" t="n"/>
      <c r="K6" s="2">
        <f>IF(J6="","",IF(J6=E6,"Ok",IF(J6&lt;E6,"Faltante",IF(J6&gt;E6,"Sobrante",""))))</f>
        <v/>
      </c>
      <c r="L6" s="2" t="n"/>
      <c r="M6" s="2" t="n"/>
      <c r="N6" s="2" t="n"/>
      <c r="O6" s="2" t="n"/>
      <c r="P6" s="2">
        <f>VLOOKUP(A6,MAESTRO__4[[producto_id]:[nombre]],4,0)</f>
        <v/>
      </c>
    </row>
    <row r="7" ht="15.6" customFormat="1" customHeight="1" s="7">
      <c r="A7" s="12" t="inlineStr">
        <is>
          <t>8835001CAD0000</t>
        </is>
      </c>
      <c r="B7" s="12" t="inlineStr">
        <is>
          <t>BRAKE PADS REPAIR KIT, FR</t>
        </is>
      </c>
      <c r="C7" s="12" t="inlineStr">
        <is>
          <t>EEC1000SP260408002AW</t>
        </is>
      </c>
      <c r="D7" s="2" t="inlineStr">
        <is>
          <t>EEC1000PL26040005SA</t>
        </is>
      </c>
      <c r="E7" s="12" t="n">
        <v>2</v>
      </c>
      <c r="F7" s="12" t="n">
        <v>90.3</v>
      </c>
      <c r="G7" s="12" t="n">
        <v>180.6</v>
      </c>
      <c r="H7" s="12" t="n"/>
      <c r="I7" s="12" t="inlineStr">
        <is>
          <t>RMGAC03228</t>
        </is>
      </c>
      <c r="J7" s="6" t="n"/>
      <c r="K7" s="2">
        <f>IF(J7="","",IF(J7=E7,"Ok",IF(J7&lt;E7,"Faltante",IF(J7&gt;E7,"Sobrante",""))))</f>
        <v/>
      </c>
      <c r="L7" s="2" t="n"/>
      <c r="M7" s="2" t="n"/>
      <c r="N7" s="2" t="n"/>
      <c r="O7" s="2" t="n"/>
      <c r="P7" s="2">
        <f>VLOOKUP(A7,MAESTRO__4[[producto_id]:[nombre]],4,0)</f>
        <v/>
      </c>
    </row>
    <row r="8" ht="15.6" customHeight="1">
      <c r="A8" s="12" t="inlineStr">
        <is>
          <t>2420005ASV0300</t>
        </is>
      </c>
      <c r="B8" s="12" t="inlineStr">
        <is>
          <t>MTG ASSY,RH</t>
        </is>
      </c>
      <c r="C8" s="12" t="inlineStr">
        <is>
          <t>EEC1000SP260408002AW</t>
        </is>
      </c>
      <c r="D8" s="2" t="inlineStr">
        <is>
          <t>EEC1000PL26040005SA</t>
        </is>
      </c>
      <c r="E8" s="12" t="n">
        <v>4</v>
      </c>
      <c r="F8" s="12" t="n">
        <v>42.36</v>
      </c>
      <c r="G8" s="12" t="n">
        <v>169.44</v>
      </c>
      <c r="H8" s="12" t="n"/>
      <c r="I8" s="12" t="inlineStr">
        <is>
          <t>RMGAC03228</t>
        </is>
      </c>
      <c r="J8" s="6" t="n"/>
      <c r="K8" s="2">
        <f>IF(J8="","",IF(J8=E8,"Ok",IF(J8&lt;E8,"Faltante",IF(J8&gt;E8,"Sobrante",""))))</f>
        <v/>
      </c>
      <c r="L8" s="2" t="n"/>
      <c r="M8" s="2" t="n"/>
      <c r="N8" s="2" t="n"/>
      <c r="O8" s="2" t="n"/>
      <c r="P8" s="2">
        <f>VLOOKUP(A8,MAESTRO__4[[producto_id]:[nombre]],4,0)</f>
        <v/>
      </c>
    </row>
    <row r="9" ht="15.6" customHeight="1">
      <c r="A9" s="12" t="inlineStr">
        <is>
          <t>8835012ADU0000</t>
        </is>
      </c>
      <c r="B9" s="12" t="inlineStr">
        <is>
          <t>FRICTION PAD 4PCS SET, FRONT</t>
        </is>
      </c>
      <c r="C9" s="12" t="inlineStr">
        <is>
          <t>EEC1000SP260408002AW</t>
        </is>
      </c>
      <c r="D9" s="2" t="inlineStr">
        <is>
          <t>EEC1000PL26040005SA</t>
        </is>
      </c>
      <c r="E9" s="12" t="n">
        <v>10</v>
      </c>
      <c r="F9" s="12" t="n">
        <v>36.92</v>
      </c>
      <c r="G9" s="12" t="n">
        <v>369.2</v>
      </c>
      <c r="H9" s="12" t="n"/>
      <c r="I9" s="12" t="inlineStr">
        <is>
          <t>RMGAC03228</t>
        </is>
      </c>
      <c r="J9" s="6" t="n"/>
      <c r="K9" s="2">
        <f>IF(J9="","",IF(J9=E9,"Ok",IF(J9&lt;E9,"Faltante",IF(J9&gt;E9,"Sobrante",""))))</f>
        <v/>
      </c>
      <c r="L9" s="2" t="n"/>
      <c r="M9" s="2" t="n"/>
      <c r="N9" s="2" t="n"/>
      <c r="O9" s="2" t="n"/>
      <c r="P9" s="2">
        <f>VLOOKUP(A9,MAESTRO__4[[producto_id]:[nombre]],4,0)</f>
        <v/>
      </c>
    </row>
    <row r="10" ht="15.6" customHeight="1">
      <c r="A10" s="12" t="inlineStr">
        <is>
          <t>2130003ASV0000</t>
        </is>
      </c>
      <c r="B10" s="12" t="inlineStr">
        <is>
          <t>FUEL FILTER</t>
        </is>
      </c>
      <c r="C10" s="12" t="inlineStr">
        <is>
          <t>EEC1000SP260408002AW</t>
        </is>
      </c>
      <c r="D10" s="2" t="inlineStr">
        <is>
          <t>EEC1000PL26040005SA</t>
        </is>
      </c>
      <c r="E10" s="12" t="n">
        <v>50</v>
      </c>
      <c r="F10" s="12" t="n">
        <v>4.26</v>
      </c>
      <c r="G10" s="12" t="n">
        <v>213</v>
      </c>
      <c r="H10" s="12" t="n"/>
      <c r="I10" s="12" t="inlineStr">
        <is>
          <t>RMGAC03228</t>
        </is>
      </c>
      <c r="J10" s="6" t="n"/>
      <c r="K10" s="2">
        <f>IF(J10="","",IF(J10=E10,"Ok",IF(J10&lt;E10,"Faltante",IF(J10&gt;E10,"Sobrante",""))))</f>
        <v/>
      </c>
      <c r="L10" s="2" t="n"/>
      <c r="M10" s="2" t="n"/>
      <c r="N10" s="2" t="n"/>
      <c r="O10" s="2" t="n"/>
      <c r="P10" s="2">
        <f>VLOOKUP(A10,MAESTRO__4[[producto_id]:[nombre]],4,0)</f>
        <v/>
      </c>
    </row>
    <row r="11" ht="15.6" customHeight="1">
      <c r="A11" s="12" t="inlineStr">
        <is>
          <t>7105004ASVM000</t>
        </is>
      </c>
      <c r="B11" s="12" t="inlineStr">
        <is>
          <t>BUMPER FASCIA FR</t>
        </is>
      </c>
      <c r="C11" s="12" t="inlineStr">
        <is>
          <t>EEC1000SP260408002AW</t>
        </is>
      </c>
      <c r="D11" s="2" t="inlineStr">
        <is>
          <t>EEC1000PL26040005SA</t>
        </is>
      </c>
      <c r="E11" s="12" t="n">
        <v>2</v>
      </c>
      <c r="F11" s="12" t="n">
        <v>125.65</v>
      </c>
      <c r="G11" s="12" t="n">
        <v>251.3</v>
      </c>
      <c r="H11" s="12" t="n"/>
      <c r="I11" s="12" t="inlineStr">
        <is>
          <t>RMGAC03228</t>
        </is>
      </c>
      <c r="J11" s="6" t="n"/>
      <c r="K11" s="2">
        <f>IF(J11="","",IF(J11=E11,"Ok",IF(J11&lt;E11,"Faltante",IF(J11&gt;E11,"Sobrante",""))))</f>
        <v/>
      </c>
      <c r="L11" s="2" t="n"/>
      <c r="M11" s="2" t="n"/>
      <c r="N11" s="2" t="n"/>
      <c r="O11" s="2" t="n"/>
      <c r="P11" s="2">
        <f>VLOOKUP(A11,MAESTRO__4[[producto_id]:[nombre]],4,0)</f>
        <v/>
      </c>
    </row>
    <row r="12" ht="15.6" customHeight="1">
      <c r="A12" s="13" t="inlineStr">
        <is>
          <t>897020500G0100</t>
        </is>
      </c>
      <c r="B12" s="13" t="inlineStr">
        <is>
          <t>A/C FILTER ELEMENT（N95）</t>
        </is>
      </c>
      <c r="C12" s="13" t="inlineStr">
        <is>
          <t>EEC1000SP260408002AW</t>
        </is>
      </c>
      <c r="D12" s="14" t="inlineStr">
        <is>
          <t>EEC1000PL26040005SA</t>
        </is>
      </c>
      <c r="E12" s="13" t="n">
        <v>20</v>
      </c>
      <c r="F12" s="13" t="n">
        <v>10.97</v>
      </c>
      <c r="G12" s="13" t="n">
        <v>219.4</v>
      </c>
      <c r="H12" s="13" t="n"/>
      <c r="I12" s="13" t="inlineStr">
        <is>
          <t>RMGAC03228</t>
        </is>
      </c>
      <c r="J12" s="6" t="n"/>
      <c r="K12" s="2">
        <f>IF(J12="","",IF(J12=E12,"Ok",IF(J12&lt;E12,"Faltante",IF(J12&gt;E12,"Sobrante",""))))</f>
        <v/>
      </c>
      <c r="L12" s="2" t="n"/>
      <c r="M12" s="2" t="n"/>
      <c r="N12" s="2" t="n"/>
      <c r="O12" s="2" t="n"/>
      <c r="P12" s="2">
        <f>VLOOKUP(A12,MAESTRO__4[[producto_id]:[nombre]],4,0)</f>
        <v/>
      </c>
    </row>
    <row r="13" ht="15.6" customHeight="1">
      <c r="A13" s="13" t="inlineStr">
        <is>
          <t>10110452040000</t>
        </is>
      </c>
      <c r="B13" s="13" t="inlineStr">
        <is>
          <t>OIL COOLER</t>
        </is>
      </c>
      <c r="C13" s="13" t="inlineStr">
        <is>
          <t>EEC1000SP260408002AW</t>
        </is>
      </c>
      <c r="D13" s="14" t="inlineStr">
        <is>
          <t>EEC1000PL26040005SA</t>
        </is>
      </c>
      <c r="E13" s="13" t="n">
        <v>1</v>
      </c>
      <c r="F13" s="13" t="n">
        <v>30.96</v>
      </c>
      <c r="G13" s="13" t="n">
        <v>30.96</v>
      </c>
      <c r="H13" s="13" t="n"/>
      <c r="I13" s="13" t="inlineStr">
        <is>
          <t>RMGAC03228</t>
        </is>
      </c>
      <c r="J13" s="6" t="n"/>
      <c r="K13" s="2">
        <f>IF(J13="","",IF(J13=E13,"Ok",IF(J13&lt;E13,"Faltante",IF(J13&gt;E13,"Sobrante",""))))</f>
        <v/>
      </c>
      <c r="L13" s="2" t="n"/>
      <c r="M13" s="2" t="n"/>
      <c r="N13" s="2" t="n"/>
      <c r="O13" s="2" t="n"/>
      <c r="P13" s="2">
        <f>VLOOKUP(A13,MAESTRO__4[[producto_id]:[nombre]],4,0)</f>
        <v/>
      </c>
    </row>
    <row r="14" ht="15.6" customHeight="1">
      <c r="A14" s="13" t="inlineStr">
        <is>
          <t>2310004CAD0000</t>
        </is>
      </c>
      <c r="B14" s="13" t="inlineStr">
        <is>
          <t>RADIATOR</t>
        </is>
      </c>
      <c r="C14" s="13" t="inlineStr">
        <is>
          <t>EEC1000SP260408002AW</t>
        </is>
      </c>
      <c r="D14" s="14" t="inlineStr">
        <is>
          <t>EEC1000PL26040005SA</t>
        </is>
      </c>
      <c r="E14" s="13" t="n">
        <v>1</v>
      </c>
      <c r="F14" s="13" t="n">
        <v>141.9</v>
      </c>
      <c r="G14" s="13" t="n">
        <v>141.9</v>
      </c>
      <c r="H14" s="13" t="n"/>
      <c r="I14" s="13" t="inlineStr">
        <is>
          <t>RMGAC03228</t>
        </is>
      </c>
      <c r="J14" s="6" t="n"/>
      <c r="K14" s="2">
        <f>IF(J14="","",IF(J14=E14,"Ok",IF(J14&lt;E14,"Faltante",IF(J14&gt;E14,"Sobrante",""))))</f>
        <v/>
      </c>
      <c r="L14" s="2" t="n"/>
      <c r="M14" s="2" t="n"/>
      <c r="N14" s="2" t="n"/>
      <c r="O14" s="2" t="n"/>
      <c r="P14" s="2">
        <f>VLOOKUP(A14,MAESTRO__4[[producto_id]:[nombre]],4,0)</f>
        <v/>
      </c>
    </row>
    <row r="15" ht="15.6" customHeight="1">
      <c r="A15" s="13" t="inlineStr">
        <is>
          <t>7155092DRS0002M10</t>
        </is>
      </c>
      <c r="B15" s="13" t="inlineStr">
        <is>
          <t>FRONT DOOR LOWER COVER ASSY, RH</t>
        </is>
      </c>
      <c r="C15" s="13" t="inlineStr">
        <is>
          <t>EEC1000SP260408002AW</t>
        </is>
      </c>
      <c r="D15" s="14" t="inlineStr">
        <is>
          <t>EEC1000PL26040005SA</t>
        </is>
      </c>
      <c r="E15" s="13" t="n">
        <v>1</v>
      </c>
      <c r="F15" s="13" t="n">
        <v>22.56</v>
      </c>
      <c r="G15" s="13" t="n">
        <v>22.56</v>
      </c>
      <c r="H15" s="13" t="n"/>
      <c r="I15" s="13" t="inlineStr">
        <is>
          <t>RMGAC03228</t>
        </is>
      </c>
      <c r="J15" s="6" t="n"/>
      <c r="K15" s="2">
        <f>IF(J15="","",IF(J15=E15,"Ok",IF(J15&lt;E15,"Faltante",IF(J15&gt;E15,"Sobrante",""))))</f>
        <v/>
      </c>
      <c r="L15" s="2" t="n"/>
      <c r="M15" s="2" t="n"/>
      <c r="N15" s="2" t="n"/>
      <c r="O15" s="2" t="n"/>
      <c r="P15" s="2">
        <f>VLOOKUP(A15,MAESTRO__4[[producto_id]:[nombre]],4,0)</f>
        <v/>
      </c>
    </row>
    <row r="16" ht="15.6" customHeight="1">
      <c r="A16" s="13" t="inlineStr">
        <is>
          <t>3610068ADU0000</t>
        </is>
      </c>
      <c r="B16" s="13" t="inlineStr">
        <is>
          <t>BEARING ASSY</t>
        </is>
      </c>
      <c r="C16" s="13" t="inlineStr">
        <is>
          <t>EEC1000SP260408002AW</t>
        </is>
      </c>
      <c r="D16" s="14" t="inlineStr">
        <is>
          <t>EEC1000PL26040005SA</t>
        </is>
      </c>
      <c r="E16" s="13" t="n">
        <v>2</v>
      </c>
      <c r="F16" s="13" t="n">
        <v>12.01</v>
      </c>
      <c r="G16" s="13" t="n">
        <v>24.02</v>
      </c>
      <c r="H16" s="13" t="n"/>
      <c r="I16" s="13" t="inlineStr">
        <is>
          <t>RMGAC03228</t>
        </is>
      </c>
      <c r="J16" s="6" t="n"/>
      <c r="K16" s="2">
        <f>IF(J16="","",IF(J16=E16,"Ok",IF(J16&lt;E16,"Faltante",IF(J16&gt;E16,"Sobrante",""))))</f>
        <v/>
      </c>
      <c r="L16" s="2" t="n"/>
      <c r="M16" s="2" t="n"/>
      <c r="N16" s="2" t="n"/>
      <c r="O16" s="2" t="n"/>
      <c r="P16" s="2">
        <f>VLOOKUP(A16,MAESTRO__4[[producto_id]:[nombre]],4,0)</f>
        <v/>
      </c>
    </row>
    <row r="17" ht="15.6" customHeight="1">
      <c r="A17" s="13" t="inlineStr">
        <is>
          <t>7305001BAF0000M10</t>
        </is>
      </c>
      <c r="B17" s="13" t="inlineStr">
        <is>
          <t>REAR LAMP A, LEFT_M10</t>
        </is>
      </c>
      <c r="C17" s="13" t="inlineStr">
        <is>
          <t>EEC1000SP260408002AW</t>
        </is>
      </c>
      <c r="D17" s="14" t="inlineStr">
        <is>
          <t>EEC1000PL26040005SA</t>
        </is>
      </c>
      <c r="E17" s="13" t="n">
        <v>1</v>
      </c>
      <c r="F17" s="13" t="n">
        <v>71.41</v>
      </c>
      <c r="G17" s="13" t="n">
        <v>71.41</v>
      </c>
      <c r="H17" s="13" t="n"/>
      <c r="I17" s="13" t="inlineStr">
        <is>
          <t>RMGAC03228</t>
        </is>
      </c>
      <c r="J17" s="6" t="n"/>
      <c r="K17" s="2">
        <f>IF(J17="","",IF(J17=E17,"Ok",IF(J17&lt;E17,"Faltante",IF(J17&gt;E17,"Sobrante",""))))</f>
        <v/>
      </c>
      <c r="L17" s="2" t="n"/>
      <c r="M17" s="2" t="n"/>
      <c r="N17" s="2" t="n"/>
      <c r="O17" s="2" t="n"/>
      <c r="P17" s="2">
        <f>VLOOKUP(A17,MAESTRO__4[[producto_id]:[nombre]],4,0)</f>
        <v/>
      </c>
    </row>
    <row r="18" ht="15.6" customHeight="1">
      <c r="A18" s="13" t="inlineStr">
        <is>
          <t>5530012ADU0000</t>
        </is>
      </c>
      <c r="B18" s="13" t="inlineStr">
        <is>
          <t>GLASS ASSY,RR DR,RH</t>
        </is>
      </c>
      <c r="C18" s="13" t="inlineStr">
        <is>
          <t>EEC1000SP260408002AW</t>
        </is>
      </c>
      <c r="D18" s="14" t="inlineStr">
        <is>
          <t>EEC1000PL26040005SA</t>
        </is>
      </c>
      <c r="E18" s="13" t="n">
        <v>1</v>
      </c>
      <c r="F18" s="13" t="n">
        <v>26.69</v>
      </c>
      <c r="G18" s="13" t="n">
        <v>26.69</v>
      </c>
      <c r="H18" s="13" t="n"/>
      <c r="I18" s="13" t="inlineStr">
        <is>
          <t>RMGAC03228</t>
        </is>
      </c>
      <c r="J18" s="6" t="n"/>
      <c r="K18" s="2">
        <f>IF(J18="","",IF(J18=E18,"Ok",IF(J18&lt;E18,"Faltante",IF(J18&gt;E18,"Sobrante",""))))</f>
        <v/>
      </c>
      <c r="L18" s="2" t="n"/>
      <c r="M18" s="2" t="n"/>
      <c r="N18" s="2" t="n"/>
      <c r="O18" s="2" t="n"/>
      <c r="P18" s="2">
        <f>VLOOKUP(A18,MAESTRO__4[[producto_id]:[nombre]],4,0)</f>
        <v/>
      </c>
    </row>
    <row r="19" ht="15.6" customHeight="1">
      <c r="A19" s="13" t="inlineStr">
        <is>
          <t>7310002ADU0000</t>
        </is>
      </c>
      <c r="B19" s="13" t="inlineStr">
        <is>
          <t>REAR LAMP B,RH</t>
        </is>
      </c>
      <c r="C19" s="13" t="inlineStr">
        <is>
          <t>EEC1000SP260408002AW</t>
        </is>
      </c>
      <c r="D19" s="14" t="inlineStr">
        <is>
          <t>EEC1000PL26040005SA</t>
        </is>
      </c>
      <c r="E19" s="13" t="n">
        <v>1</v>
      </c>
      <c r="F19" s="13" t="n">
        <v>35.73</v>
      </c>
      <c r="G19" s="13" t="n">
        <v>35.73</v>
      </c>
      <c r="H19" s="13" t="n"/>
      <c r="I19" s="13" t="inlineStr">
        <is>
          <t>RMGAC03228</t>
        </is>
      </c>
      <c r="J19" s="6" t="n"/>
      <c r="K19" s="2">
        <f>IF(J19="","",IF(J19=E19,"Ok",IF(J19&lt;E19,"Faltante",IF(J19&gt;E19,"Sobrante",""))))</f>
        <v/>
      </c>
      <c r="L19" s="2" t="n"/>
      <c r="M19" s="2" t="n"/>
      <c r="N19" s="2" t="n"/>
      <c r="O19" s="2" t="n"/>
      <c r="P19" s="2">
        <f>VLOOKUP(A19,MAESTRO__4[[producto_id]:[nombre]],4,0)</f>
        <v/>
      </c>
    </row>
    <row r="20" ht="15.6" customHeight="1">
      <c r="A20" s="13" t="inlineStr">
        <is>
          <t>7530010DRS0000</t>
        </is>
      </c>
      <c r="B20" s="13" t="inlineStr">
        <is>
          <t>CONTAINER WASHER ASSY</t>
        </is>
      </c>
      <c r="C20" s="13" t="inlineStr">
        <is>
          <t>EEC1000SP260408002AW</t>
        </is>
      </c>
      <c r="D20" s="14" t="inlineStr">
        <is>
          <t>EEC1000PL26040005SA</t>
        </is>
      </c>
      <c r="E20" s="13" t="n">
        <v>1</v>
      </c>
      <c r="F20" s="13" t="n">
        <v>16.96</v>
      </c>
      <c r="G20" s="13" t="n">
        <v>16.96</v>
      </c>
      <c r="H20" s="13" t="n"/>
      <c r="I20" s="13" t="inlineStr">
        <is>
          <t>RMGAC03228</t>
        </is>
      </c>
      <c r="J20" s="6" t="n"/>
      <c r="K20" s="2">
        <f>IF(J20="","",IF(J20=E20,"Ok",IF(J20&lt;E20,"Faltante",IF(J20&gt;E20,"Sobrante",""))))</f>
        <v/>
      </c>
      <c r="L20" s="2" t="n"/>
      <c r="M20" s="2" t="n"/>
      <c r="N20" s="2" t="n"/>
      <c r="O20" s="2" t="n"/>
      <c r="P20" s="2" t="inlineStr">
        <is>
          <t>ok</t>
        </is>
      </c>
    </row>
    <row r="21" ht="15.6" customHeight="1">
      <c r="A21" s="13" t="inlineStr">
        <is>
          <t>7180051DRS0000C10</t>
        </is>
      </c>
      <c r="B21" s="13" t="inlineStr">
        <is>
          <t>OUTER GARNISH ASSY,RR DOOR FRAME,FR LH</t>
        </is>
      </c>
      <c r="C21" s="13" t="inlineStr">
        <is>
          <t>EEC1000SP260408002AW</t>
        </is>
      </c>
      <c r="D21" s="14" t="inlineStr">
        <is>
          <t>EEC1000PL26040005SA</t>
        </is>
      </c>
      <c r="E21" s="13" t="n">
        <v>1</v>
      </c>
      <c r="F21" s="13" t="n">
        <v>7.74</v>
      </c>
      <c r="G21" s="13" t="n">
        <v>7.74</v>
      </c>
      <c r="H21" s="13" t="n"/>
      <c r="I21" s="13" t="inlineStr">
        <is>
          <t>RMGAC03228</t>
        </is>
      </c>
      <c r="J21" s="6" t="n"/>
      <c r="K21" s="2">
        <f>IF(J21="","",IF(J21=E21,"Ok",IF(J21&lt;E21,"Faltante",IF(J21&gt;E21,"Sobrante",""))))</f>
        <v/>
      </c>
      <c r="L21" s="2" t="n"/>
      <c r="M21" s="2" t="n"/>
      <c r="N21" s="2" t="n"/>
      <c r="O21" s="2" t="n"/>
      <c r="P21" s="2">
        <f>VLOOKUP(A21,MAESTRO__4[[producto_id]:[nombre]],4,0)</f>
        <v/>
      </c>
    </row>
    <row r="22" ht="15.6" customHeight="1">
      <c r="A22" s="13" t="inlineStr">
        <is>
          <t>7190003CSV0000M10</t>
        </is>
      </c>
      <c r="B22" s="13" t="inlineStr">
        <is>
          <t>FRONT FRAME ASSY_M10</t>
        </is>
      </c>
      <c r="C22" s="13" t="inlineStr">
        <is>
          <t>EEC1000SP260408002AW</t>
        </is>
      </c>
      <c r="D22" s="14" t="inlineStr">
        <is>
          <t>EEC1000PL26040005SA</t>
        </is>
      </c>
      <c r="E22" s="13" t="n">
        <v>1</v>
      </c>
      <c r="F22" s="13" t="n">
        <v>143.53</v>
      </c>
      <c r="G22" s="13" t="n">
        <v>143.53</v>
      </c>
      <c r="H22" s="13" t="n"/>
      <c r="I22" s="13" t="inlineStr">
        <is>
          <t>RMGAC03228</t>
        </is>
      </c>
      <c r="J22" s="6" t="n"/>
      <c r="K22" s="2">
        <f>IF(J22="","",IF(J22=E22,"Ok",IF(J22&lt;E22,"Faltante",IF(J22&gt;E22,"Sobrante",""))))</f>
        <v/>
      </c>
      <c r="L22" s="2" t="n"/>
      <c r="M22" s="2" t="n"/>
      <c r="N22" s="2" t="n"/>
      <c r="O22" s="2" t="n"/>
      <c r="P22" s="2">
        <f>VLOOKUP(A22,MAESTRO__4[[producto_id]:[nombre]],4,0)</f>
        <v/>
      </c>
    </row>
    <row r="23" ht="15.6" customHeight="1">
      <c r="A23" s="13" t="inlineStr">
        <is>
          <t>7105016ADU0000M10</t>
        </is>
      </c>
      <c r="B23" s="13" t="inlineStr">
        <is>
          <t>TRIM, BUMPER ASSY FR,M10</t>
        </is>
      </c>
      <c r="C23" s="13" t="inlineStr">
        <is>
          <t>EEC1000SP260408002AW</t>
        </is>
      </c>
      <c r="D23" s="14" t="inlineStr">
        <is>
          <t>EEC1000PL26040005SA</t>
        </is>
      </c>
      <c r="E23" s="13" t="n">
        <v>4</v>
      </c>
      <c r="F23" s="13" t="n">
        <v>31.73</v>
      </c>
      <c r="G23" s="13" t="n">
        <v>126.92</v>
      </c>
      <c r="H23" s="13" t="n"/>
      <c r="I23" s="13" t="inlineStr">
        <is>
          <t>RMGAC03228</t>
        </is>
      </c>
      <c r="J23" s="6" t="n"/>
      <c r="K23" s="2">
        <f>IF(J23="","",IF(J23=E23,"Ok",IF(J23&lt;E23,"Faltante",IF(J23&gt;E23,"Sobrante",""))))</f>
        <v/>
      </c>
      <c r="L23" s="2" t="n"/>
      <c r="M23" s="2" t="n"/>
      <c r="N23" s="2" t="n"/>
      <c r="O23" s="2" t="n"/>
      <c r="P23" s="2">
        <f>VLOOKUP(A23,MAESTRO__4[[producto_id]:[nombre]],4,0)</f>
        <v/>
      </c>
    </row>
    <row r="24" ht="15.6" customHeight="1">
      <c r="A24" s="13" t="inlineStr">
        <is>
          <t>2010005BAL0100</t>
        </is>
      </c>
      <c r="B24" s="13" t="inlineStr">
        <is>
          <t>AIR FILITER ELEMENT</t>
        </is>
      </c>
      <c r="C24" s="13" t="inlineStr">
        <is>
          <t>EEC1000SP260408002AW</t>
        </is>
      </c>
      <c r="D24" s="14" t="inlineStr">
        <is>
          <t>EEC1000PL26040005SA</t>
        </is>
      </c>
      <c r="E24" s="13" t="n">
        <v>50</v>
      </c>
      <c r="F24" s="13" t="n">
        <v>7.74</v>
      </c>
      <c r="G24" s="13" t="n">
        <v>387</v>
      </c>
      <c r="H24" s="13" t="n"/>
      <c r="I24" s="13" t="inlineStr">
        <is>
          <t>RMGAC03228</t>
        </is>
      </c>
      <c r="J24" s="6" t="n"/>
      <c r="K24" s="2">
        <f>IF(J24="","",IF(J24=E24,"Ok",IF(J24&lt;E24,"Faltante",IF(J24&gt;E24,"Sobrante",""))))</f>
        <v/>
      </c>
      <c r="L24" s="2" t="n"/>
      <c r="M24" s="2" t="n"/>
      <c r="N24" s="2" t="n"/>
      <c r="O24" s="2" t="n"/>
      <c r="P24" s="2">
        <f>VLOOKUP(A24,MAESTRO__4[[producto_id]:[nombre]],4,0)</f>
        <v/>
      </c>
    </row>
    <row r="25" ht="15.6" customHeight="1">
      <c r="A25" s="13" t="inlineStr">
        <is>
          <t>3610131AAF0000</t>
        </is>
      </c>
      <c r="B25" s="13" t="inlineStr">
        <is>
          <t>BRACKET ASSY</t>
        </is>
      </c>
      <c r="C25" s="13" t="inlineStr">
        <is>
          <t>EEC1000SP260408002AW</t>
        </is>
      </c>
      <c r="D25" s="14" t="inlineStr">
        <is>
          <t>EEC1000PL26040005SA</t>
        </is>
      </c>
      <c r="E25" s="13" t="n">
        <v>5</v>
      </c>
      <c r="F25" s="13" t="n">
        <v>18.45</v>
      </c>
      <c r="G25" s="13" t="n">
        <v>92.25</v>
      </c>
      <c r="H25" s="13" t="n"/>
      <c r="I25" s="13" t="inlineStr">
        <is>
          <t>RMGAC03228</t>
        </is>
      </c>
      <c r="J25" s="6" t="n"/>
      <c r="K25" s="2">
        <f>IF(J25="","",IF(J25=E25,"Ok",IF(J25&lt;E25,"Faltante",IF(J25&gt;E25,"Sobrante",""))))</f>
        <v/>
      </c>
      <c r="L25" s="2" t="n"/>
      <c r="M25" s="2" t="n"/>
      <c r="N25" s="2" t="n"/>
      <c r="O25" s="2" t="n"/>
      <c r="P25" s="2">
        <f>VLOOKUP(A25,MAESTRO__4[[producto_id]:[nombre]],4,0)</f>
        <v/>
      </c>
    </row>
    <row r="26" ht="15.6" customHeight="1">
      <c r="A26" s="13" t="inlineStr">
        <is>
          <t>3610006CAD0000</t>
        </is>
      </c>
      <c r="B26" s="13" t="inlineStr">
        <is>
          <t>BRKT ASSY,UPR STRUT</t>
        </is>
      </c>
      <c r="C26" s="13" t="inlineStr">
        <is>
          <t>EEC1000SP260408002AW</t>
        </is>
      </c>
      <c r="D26" s="14" t="inlineStr">
        <is>
          <t>EEC1000PL26040005SA</t>
        </is>
      </c>
      <c r="E26" s="13" t="n">
        <v>2</v>
      </c>
      <c r="F26" s="13" t="n">
        <v>9.65</v>
      </c>
      <c r="G26" s="13" t="n">
        <v>19.3</v>
      </c>
      <c r="H26" s="13" t="n"/>
      <c r="I26" s="13" t="inlineStr">
        <is>
          <t>RMGAC03228</t>
        </is>
      </c>
      <c r="J26" s="6" t="n"/>
      <c r="K26" s="2">
        <f>IF(J26="","",IF(J26=E26,"Ok",IF(J26&lt;E26,"Faltante",IF(J26&gt;E26,"Sobrante",""))))</f>
        <v/>
      </c>
      <c r="L26" s="2" t="n"/>
      <c r="M26" s="2" t="n"/>
      <c r="N26" s="2" t="n"/>
      <c r="O26" s="2" t="n"/>
      <c r="P26" s="2">
        <f>VLOOKUP(A26,MAESTRO__4[[producto_id]:[nombre]],4,0)</f>
        <v/>
      </c>
    </row>
    <row r="27" ht="15.6" customHeight="1">
      <c r="A27" s="13" t="inlineStr">
        <is>
          <t>3210002ADU0102</t>
        </is>
      </c>
      <c r="B27" s="13" t="inlineStr">
        <is>
          <t>SHAFT DRIVE,RH</t>
        </is>
      </c>
      <c r="C27" s="13" t="inlineStr">
        <is>
          <t>EEC1000SP260408002AW</t>
        </is>
      </c>
      <c r="D27" s="14" t="inlineStr">
        <is>
          <t>EEC1000PL26040005SA</t>
        </is>
      </c>
      <c r="E27" s="13" t="n">
        <v>1</v>
      </c>
      <c r="F27" s="13" t="n">
        <v>139.32</v>
      </c>
      <c r="G27" s="13" t="n">
        <v>139.32</v>
      </c>
      <c r="H27" s="13" t="n"/>
      <c r="I27" s="13" t="inlineStr">
        <is>
          <t>RMGAC03228</t>
        </is>
      </c>
      <c r="J27" s="6" t="n"/>
      <c r="K27" s="2">
        <f>IF(J27="","",IF(J27=E27,"Ok",IF(J27&lt;E27,"Faltante",IF(J27&gt;E27,"Sobrante",""))))</f>
        <v/>
      </c>
      <c r="L27" s="2" t="n"/>
      <c r="M27" s="2" t="n"/>
      <c r="N27" s="2" t="n"/>
      <c r="O27" s="2" t="n"/>
      <c r="P27" s="2">
        <f>VLOOKUP(A27,MAESTRO__4[[producto_id]:[nombre]],4,0)</f>
        <v/>
      </c>
    </row>
    <row r="28" ht="15.6" customHeight="1">
      <c r="A28" s="13" t="inlineStr">
        <is>
          <t>7105061ADU0600</t>
        </is>
      </c>
      <c r="B28" s="13" t="inlineStr">
        <is>
          <t>COVER,FR FOG LAMP,LH</t>
        </is>
      </c>
      <c r="C28" s="13" t="inlineStr">
        <is>
          <t>EEC1000SP260408002AW</t>
        </is>
      </c>
      <c r="D28" s="14" t="inlineStr">
        <is>
          <t>EEC1000PL26040005SA</t>
        </is>
      </c>
      <c r="E28" s="13" t="n">
        <v>1</v>
      </c>
      <c r="F28" s="13" t="n">
        <v>12.82</v>
      </c>
      <c r="G28" s="13" t="n">
        <v>12.82</v>
      </c>
      <c r="H28" s="13" t="n"/>
      <c r="I28" s="13" t="inlineStr">
        <is>
          <t>RMGAC03228</t>
        </is>
      </c>
      <c r="J28" s="6" t="n"/>
      <c r="K28" s="2">
        <f>IF(J28="","",IF(J28=E28,"Ok",IF(J28&lt;E28,"Faltante",IF(J28&gt;E28,"Sobrante",""))))</f>
        <v/>
      </c>
      <c r="L28" s="2" t="n"/>
      <c r="M28" s="2" t="n"/>
      <c r="N28" s="2" t="n"/>
      <c r="O28" s="2" t="n"/>
      <c r="P28" s="2">
        <f>VLOOKUP(A28,MAESTRO__4[[producto_id]:[nombre]],4,0)</f>
        <v/>
      </c>
    </row>
    <row r="29" ht="15.6" customHeight="1">
      <c r="A29" s="13" t="inlineStr">
        <is>
          <t>7105012ADU00F0</t>
        </is>
      </c>
      <c r="B29" s="13" t="inlineStr">
        <is>
          <t>BRACKET,FR BUMPER,RH</t>
        </is>
      </c>
      <c r="C29" s="13" t="inlineStr">
        <is>
          <t>EEC1000SP260408002AW</t>
        </is>
      </c>
      <c r="D29" s="14" t="inlineStr">
        <is>
          <t>EEC1000PL26040005SA</t>
        </is>
      </c>
      <c r="E29" s="13" t="n">
        <v>6</v>
      </c>
      <c r="F29" s="13" t="n">
        <v>2.32</v>
      </c>
      <c r="G29" s="13" t="n">
        <v>13.92</v>
      </c>
      <c r="H29" s="13" t="n"/>
      <c r="I29" s="13" t="inlineStr">
        <is>
          <t>RMGAC03228</t>
        </is>
      </c>
      <c r="J29" s="6" t="n"/>
      <c r="K29" s="2">
        <f>IF(J29="","",IF(J29=E29,"Ok",IF(J29&lt;E29,"Faltante",IF(J29&gt;E29,"Sobrante",""))))</f>
        <v/>
      </c>
      <c r="L29" s="2" t="n"/>
      <c r="M29" s="2" t="n"/>
      <c r="N29" s="2" t="n"/>
      <c r="O29" s="2" t="n"/>
      <c r="P29" s="2">
        <f>VLOOKUP(A29,MAESTRO__4[[producto_id]:[nombre]],4,0)</f>
        <v/>
      </c>
    </row>
    <row r="30" ht="15.6" customHeight="1">
      <c r="A30" s="13" t="inlineStr">
        <is>
          <t>3710055ADU0101</t>
        </is>
      </c>
      <c r="B30" s="13" t="inlineStr">
        <is>
          <t>SUBFRAME WELD ASSY,FR</t>
        </is>
      </c>
      <c r="C30" s="13" t="inlineStr">
        <is>
          <t>EEC1000SP260408002AW</t>
        </is>
      </c>
      <c r="D30" s="14" t="inlineStr">
        <is>
          <t>EEC1000PL26040005SA</t>
        </is>
      </c>
      <c r="E30" s="13" t="n">
        <v>1</v>
      </c>
      <c r="F30" s="13" t="n">
        <v>219.3</v>
      </c>
      <c r="G30" s="13" t="n">
        <v>219.3</v>
      </c>
      <c r="H30" s="13" t="n"/>
      <c r="I30" s="13" t="inlineStr">
        <is>
          <t>RMGAC03228</t>
        </is>
      </c>
      <c r="J30" s="6" t="n"/>
      <c r="K30" s="2">
        <f>IF(J30="","",IF(J30=E30,"Ok",IF(J30&lt;E30,"Faltante",IF(J30&gt;E30,"Sobrante",""))))</f>
        <v/>
      </c>
      <c r="L30" s="2" t="n"/>
      <c r="M30" s="2" t="n"/>
      <c r="N30" s="2" t="n"/>
      <c r="O30" s="2" t="n"/>
      <c r="P30" s="2">
        <f>VLOOKUP(A30,MAESTRO__4[[producto_id]:[nombre]],4,0)</f>
        <v/>
      </c>
    </row>
    <row r="31" ht="15.6" customHeight="1">
      <c r="A31" s="13" t="inlineStr">
        <is>
          <t>7125002ADU00F0M10</t>
        </is>
      </c>
      <c r="B31" s="13" t="inlineStr">
        <is>
          <t>SILL SIDE OUTER COVER ASSY,RH</t>
        </is>
      </c>
      <c r="C31" s="13" t="inlineStr">
        <is>
          <t>EEC1000SP260408002AW</t>
        </is>
      </c>
      <c r="D31" s="14" t="inlineStr">
        <is>
          <t>EEC1000PL26040005SA</t>
        </is>
      </c>
      <c r="E31" s="13" t="n">
        <v>1</v>
      </c>
      <c r="F31" s="13" t="n">
        <v>29.77</v>
      </c>
      <c r="G31" s="13" t="n">
        <v>29.77</v>
      </c>
      <c r="H31" s="13" t="n"/>
      <c r="I31" s="13" t="inlineStr">
        <is>
          <t>RMGAC03228</t>
        </is>
      </c>
      <c r="J31" s="6" t="n"/>
      <c r="K31" s="2">
        <f>IF(J31="","",IF(J31=E31,"Ok",IF(J31&lt;E31,"Faltante",IF(J31&gt;E31,"Sobrante",""))))</f>
        <v/>
      </c>
      <c r="L31" s="2" t="n"/>
      <c r="M31" s="2" t="n"/>
      <c r="N31" s="2" t="n"/>
      <c r="O31" s="2" t="n"/>
      <c r="P31" s="2">
        <f>VLOOKUP(A31,MAESTRO__4[[producto_id]:[nombre]],4,0)</f>
        <v/>
      </c>
    </row>
    <row r="32" ht="15.6" customHeight="1">
      <c r="A32" s="13" t="inlineStr">
        <is>
          <t>2330003DRS0000</t>
        </is>
      </c>
      <c r="B32" s="13" t="inlineStr">
        <is>
          <t>INTERCOOLER ASSEMBLY</t>
        </is>
      </c>
      <c r="C32" s="13" t="inlineStr">
        <is>
          <t>EEC1000SP260408002AW</t>
        </is>
      </c>
      <c r="D32" s="14" t="inlineStr">
        <is>
          <t>EEC1000PL26040005SA</t>
        </is>
      </c>
      <c r="E32" s="13" t="n">
        <v>1</v>
      </c>
      <c r="F32" s="13" t="n">
        <v>94.44</v>
      </c>
      <c r="G32" s="13" t="n">
        <v>94.44</v>
      </c>
      <c r="H32" s="13" t="n"/>
      <c r="I32" s="13" t="inlineStr">
        <is>
          <t>RMGAC03228</t>
        </is>
      </c>
      <c r="J32" s="6" t="n"/>
      <c r="K32" s="2">
        <f>IF(J32="","",IF(J32=E32,"Ok",IF(J32&lt;E32,"Faltante",IF(J32&gt;E32,"Sobrante",""))))</f>
        <v/>
      </c>
      <c r="L32" s="2" t="n"/>
      <c r="M32" s="2" t="n"/>
      <c r="N32" s="2" t="n"/>
      <c r="O32" s="2" t="n"/>
      <c r="P32" s="2">
        <f>VLOOKUP(A32,MAESTRO__4[[producto_id]:[nombre]],4,0)</f>
        <v/>
      </c>
    </row>
    <row r="33" ht="15.6" customHeight="1">
      <c r="A33" s="13" t="inlineStr">
        <is>
          <t>8880027DSV0000</t>
        </is>
      </c>
      <c r="B33" s="13" t="inlineStr">
        <is>
          <t>FILTER</t>
        </is>
      </c>
      <c r="C33" s="13" t="inlineStr">
        <is>
          <t>EEC1000SP260408002AW</t>
        </is>
      </c>
      <c r="D33" s="14" t="inlineStr">
        <is>
          <t>EEC1000PL26040005SA</t>
        </is>
      </c>
      <c r="E33" s="13" t="n">
        <v>20</v>
      </c>
      <c r="F33" s="13" t="n">
        <v>6.45</v>
      </c>
      <c r="G33" s="13" t="n">
        <v>129</v>
      </c>
      <c r="H33" s="13" t="n"/>
      <c r="I33" s="13" t="inlineStr">
        <is>
          <t>RMGAC03228</t>
        </is>
      </c>
      <c r="J33" s="6" t="n"/>
      <c r="K33" s="2">
        <f>IF(J33="","",IF(J33=E33,"Ok",IF(J33&lt;E33,"Faltante",IF(J33&gt;E33,"Sobrante",""))))</f>
        <v/>
      </c>
      <c r="L33" s="2" t="n"/>
      <c r="M33" s="2" t="n"/>
      <c r="N33" s="2" t="n"/>
      <c r="O33" s="2" t="n"/>
      <c r="P33" s="2">
        <f>VLOOKUP(A33,MAESTRO__4[[producto_id]:[nombre]],4,0)</f>
        <v/>
      </c>
    </row>
    <row r="34" ht="15.6" customHeight="1">
      <c r="A34" s="13" t="inlineStr">
        <is>
          <t>7106013DSV0000</t>
        </is>
      </c>
      <c r="B34" s="13" t="inlineStr">
        <is>
          <t>TRIM LWR,RR BUMPER</t>
        </is>
      </c>
      <c r="C34" s="13" t="inlineStr">
        <is>
          <t>EEC1000SP260408002AW</t>
        </is>
      </c>
      <c r="D34" s="14" t="inlineStr">
        <is>
          <t>EEC1000PL26040005SA</t>
        </is>
      </c>
      <c r="E34" s="13" t="n">
        <v>1</v>
      </c>
      <c r="F34" s="13" t="n">
        <v>41.76</v>
      </c>
      <c r="G34" s="13" t="n">
        <v>41.76</v>
      </c>
      <c r="H34" s="13" t="n"/>
      <c r="I34" s="13" t="inlineStr">
        <is>
          <t>RMGAC03228</t>
        </is>
      </c>
      <c r="J34" s="6" t="n"/>
      <c r="K34" s="2">
        <f>IF(J34="","",IF(J34=E34,"Ok",IF(J34&lt;E34,"Faltante",IF(J34&gt;E34,"Sobrante",""))))</f>
        <v/>
      </c>
      <c r="L34" s="2" t="n"/>
      <c r="M34" s="2" t="n"/>
      <c r="N34" s="2" t="n"/>
      <c r="O34" s="2" t="n"/>
      <c r="P34" s="2">
        <f>VLOOKUP(A34,MAESTRO__4[[producto_id]:[nombre]],4,0)</f>
        <v/>
      </c>
    </row>
    <row r="35" ht="15.6" customHeight="1">
      <c r="A35" s="13" t="inlineStr">
        <is>
          <t>8835005CSV0002</t>
        </is>
      </c>
      <c r="B35" s="13" t="inlineStr">
        <is>
          <t>BRAKE PADS REPAIR KIT, FR</t>
        </is>
      </c>
      <c r="C35" s="13" t="inlineStr">
        <is>
          <t>EEC1000SP260408002AW</t>
        </is>
      </c>
      <c r="D35" s="14" t="inlineStr">
        <is>
          <t>EEC1000PL26040005SA</t>
        </is>
      </c>
      <c r="E35" s="13" t="n">
        <v>10</v>
      </c>
      <c r="F35" s="13" t="n">
        <v>86.65000000000001</v>
      </c>
      <c r="G35" s="13" t="n">
        <v>866.5</v>
      </c>
      <c r="H35" s="13" t="n"/>
      <c r="I35" s="13" t="inlineStr">
        <is>
          <t>RMGAC03228</t>
        </is>
      </c>
      <c r="J35" s="6" t="n"/>
      <c r="K35" s="2">
        <f>IF(J35="","",IF(J35=E35,"Ok",IF(J35&lt;E35,"Faltante",IF(J35&gt;E35,"Sobrante",""))))</f>
        <v/>
      </c>
      <c r="L35" s="2" t="n"/>
      <c r="M35" s="2" t="n"/>
      <c r="N35" s="2" t="n"/>
      <c r="O35" s="2" t="n"/>
      <c r="P35" s="2">
        <f>VLOOKUP(A35,MAESTRO__4[[producto_id]:[nombre]],4,0)</f>
        <v/>
      </c>
    </row>
    <row r="36" ht="15.6" customHeight="1">
      <c r="A36" s="13" t="inlineStr">
        <is>
          <t>7530010ASV0001</t>
        </is>
      </c>
      <c r="B36" s="13" t="inlineStr">
        <is>
          <t>CONTAINER WASHER ASSY</t>
        </is>
      </c>
      <c r="C36" s="13" t="inlineStr">
        <is>
          <t>EEC1000SP260408002AW</t>
        </is>
      </c>
      <c r="D36" s="14" t="inlineStr">
        <is>
          <t>EEC1000PL26040005SA</t>
        </is>
      </c>
      <c r="E36" s="13" t="n">
        <v>1</v>
      </c>
      <c r="F36" s="13" t="n">
        <v>18.46</v>
      </c>
      <c r="G36" s="13" t="n">
        <v>18.46</v>
      </c>
      <c r="H36" s="13" t="n"/>
      <c r="I36" s="13" t="inlineStr">
        <is>
          <t>RMGAC03228</t>
        </is>
      </c>
      <c r="J36" s="6" t="n"/>
      <c r="K36" s="2">
        <f>IF(J36="","",IF(J36=E36,"Ok",IF(J36&lt;E36,"Faltante",IF(J36&gt;E36,"Sobrante",""))))</f>
        <v/>
      </c>
      <c r="L36" s="2" t="n"/>
      <c r="M36" s="2" t="n"/>
      <c r="N36" s="2" t="n"/>
      <c r="O36" s="2" t="n"/>
      <c r="P36" s="2">
        <f>VLOOKUP(A36,MAESTRO__4[[producto_id]:[nombre]],4,0)</f>
        <v/>
      </c>
    </row>
    <row r="37" ht="15.6" customHeight="1">
      <c r="A37" s="13" t="inlineStr">
        <is>
          <t>2010003ADU0001</t>
        </is>
      </c>
      <c r="B37" s="13" t="inlineStr">
        <is>
          <t>AIR FILTER ASSY</t>
        </is>
      </c>
      <c r="C37" s="13" t="inlineStr">
        <is>
          <t>EEC1000SP260408002AW</t>
        </is>
      </c>
      <c r="D37" s="14" t="inlineStr">
        <is>
          <t>EEC1000PL26040005SA</t>
        </is>
      </c>
      <c r="E37" s="13" t="n">
        <v>1</v>
      </c>
      <c r="F37" s="13" t="n">
        <v>23.08</v>
      </c>
      <c r="G37" s="13" t="n">
        <v>23.08</v>
      </c>
      <c r="H37" s="13" t="n"/>
      <c r="I37" s="13" t="inlineStr">
        <is>
          <t>RMGAC03228</t>
        </is>
      </c>
      <c r="J37" s="6" t="n"/>
      <c r="K37" s="2">
        <f>IF(J37="","",IF(J37=E37,"Ok",IF(J37&lt;E37,"Faltante",IF(J37&gt;E37,"Sobrante",""))))</f>
        <v/>
      </c>
      <c r="L37" s="2" t="n"/>
      <c r="M37" s="2" t="n"/>
      <c r="N37" s="2" t="n"/>
      <c r="O37" s="2" t="n"/>
      <c r="P37" s="2">
        <f>VLOOKUP(A37,MAESTRO__4[[producto_id]:[nombre]],4,0)</f>
        <v/>
      </c>
    </row>
    <row r="38" ht="15.6" customHeight="1">
      <c r="A38" s="13" t="inlineStr">
        <is>
          <t>3610006CRV0000</t>
        </is>
      </c>
      <c r="B38" s="13" t="inlineStr">
        <is>
          <t>BRKT ASSY,UPR STRUT</t>
        </is>
      </c>
      <c r="C38" s="13" t="inlineStr">
        <is>
          <t>EEC1000SP260408002AW</t>
        </is>
      </c>
      <c r="D38" s="14" t="inlineStr">
        <is>
          <t>EEC1000PL26040005SA</t>
        </is>
      </c>
      <c r="E38" s="13" t="n">
        <v>2</v>
      </c>
      <c r="F38" s="13" t="n">
        <v>14.19</v>
      </c>
      <c r="G38" s="13" t="n">
        <v>28.38</v>
      </c>
      <c r="H38" s="13" t="n"/>
      <c r="I38" s="13" t="inlineStr">
        <is>
          <t>RMGAC03228</t>
        </is>
      </c>
      <c r="J38" s="6" t="n"/>
      <c r="K38" s="2">
        <f>IF(J38="","",IF(J38=E38,"Ok",IF(J38&lt;E38,"Faltante",IF(J38&gt;E38,"Sobrante",""))))</f>
        <v/>
      </c>
      <c r="L38" s="2" t="n"/>
      <c r="M38" s="2" t="n"/>
      <c r="N38" s="2" t="n"/>
      <c r="O38" s="2" t="n"/>
      <c r="P38" s="2">
        <f>VLOOKUP(A38,MAESTRO__4[[producto_id]:[nombre]],4,0)</f>
        <v/>
      </c>
    </row>
    <row r="39" ht="15.6" customHeight="1">
      <c r="A39" s="13" t="inlineStr">
        <is>
          <t>3510003BSV0000</t>
        </is>
      </c>
      <c r="B39" s="13" t="inlineStr">
        <is>
          <t>WHEEL BEARING,FR</t>
        </is>
      </c>
      <c r="C39" s="13" t="inlineStr">
        <is>
          <t>EEC1000SP260408002AW</t>
        </is>
      </c>
      <c r="D39" s="14" t="inlineStr">
        <is>
          <t>EEC1000PL26040005SA</t>
        </is>
      </c>
      <c r="E39" s="13" t="n">
        <v>3</v>
      </c>
      <c r="F39" s="13" t="n">
        <v>44.47</v>
      </c>
      <c r="G39" s="13" t="n">
        <v>133.41</v>
      </c>
      <c r="H39" s="13" t="n"/>
      <c r="I39" s="13" t="inlineStr">
        <is>
          <t>RMGAC03228</t>
        </is>
      </c>
      <c r="J39" s="6" t="n"/>
      <c r="K39" s="2">
        <f>IF(J39="","",IF(J39=E39,"Ok",IF(J39&lt;E39,"Faltante",IF(J39&gt;E39,"Sobrante",""))))</f>
        <v/>
      </c>
      <c r="L39" s="2" t="n"/>
      <c r="M39" s="2" t="n"/>
      <c r="N39" s="2" t="n"/>
      <c r="O39" s="2" t="n"/>
      <c r="P39" s="2">
        <f>VLOOKUP(A39,MAESTRO__4[[producto_id]:[nombre]],4,0)</f>
        <v/>
      </c>
    </row>
    <row r="40" ht="15.6" customHeight="1">
      <c r="A40" s="13" t="inlineStr">
        <is>
          <t>7125002ADU0500</t>
        </is>
      </c>
      <c r="B40" s="13" t="inlineStr">
        <is>
          <t>SILL SIDE OUTER COVER ASSY,RH</t>
        </is>
      </c>
      <c r="C40" s="13" t="inlineStr">
        <is>
          <t>EEC1000SP260408002AW</t>
        </is>
      </c>
      <c r="D40" s="14" t="inlineStr">
        <is>
          <t>EEC1000PL26040005SA</t>
        </is>
      </c>
      <c r="E40" s="13" t="n">
        <v>1</v>
      </c>
      <c r="F40" s="13" t="n">
        <v>29.77</v>
      </c>
      <c r="G40" s="13" t="n">
        <v>29.77</v>
      </c>
      <c r="H40" s="13" t="n"/>
      <c r="I40" s="13" t="inlineStr">
        <is>
          <t>RMGAC03228</t>
        </is>
      </c>
      <c r="J40" s="6" t="n"/>
      <c r="K40" s="2">
        <f>IF(J40="","",IF(J40=E40,"Ok",IF(J40&lt;E40,"Faltante",IF(J40&gt;E40,"Sobrante",""))))</f>
        <v/>
      </c>
      <c r="L40" s="2" t="n"/>
      <c r="M40" s="2" t="n"/>
      <c r="N40" s="2" t="n"/>
      <c r="O40" s="2" t="n"/>
      <c r="P40" s="2">
        <f>VLOOKUP(A40,MAESTRO__4[[producto_id]:[nombre]],4,0)</f>
        <v/>
      </c>
    </row>
    <row r="41" ht="15.6" customHeight="1">
      <c r="A41" s="13" t="inlineStr">
        <is>
          <t>7610002ADU0300A09</t>
        </is>
      </c>
      <c r="B41" s="13" t="inlineStr">
        <is>
          <t>VIEW MIRROR,EXTR RH</t>
        </is>
      </c>
      <c r="C41" s="13" t="inlineStr">
        <is>
          <t>EEC1000SP260408002AW</t>
        </is>
      </c>
      <c r="D41" s="14" t="inlineStr">
        <is>
          <t>EEC1000PL26040005SA</t>
        </is>
      </c>
      <c r="E41" s="13" t="n">
        <v>2</v>
      </c>
      <c r="F41" s="13" t="n">
        <v>84.23999999999999</v>
      </c>
      <c r="G41" s="13" t="n">
        <v>168.48</v>
      </c>
      <c r="H41" s="13" t="n"/>
      <c r="I41" s="13" t="inlineStr">
        <is>
          <t>RMGAC03228</t>
        </is>
      </c>
      <c r="J41" s="6" t="n"/>
      <c r="K41" s="2">
        <f>IF(J41="","",IF(J41=E41,"Ok",IF(J41&lt;E41,"Faltante",IF(J41&gt;E41,"Sobrante",""))))</f>
        <v/>
      </c>
      <c r="L41" s="2" t="n"/>
      <c r="M41" s="2" t="n"/>
      <c r="N41" s="2" t="n"/>
      <c r="O41" s="2" t="n"/>
      <c r="P41" s="2">
        <f>VLOOKUP(A41,MAESTRO__4[[producto_id]:[nombre]],4,0)</f>
        <v/>
      </c>
    </row>
    <row r="42" ht="15.6" customHeight="1"/>
    <row r="43" ht="15.6" customHeight="1"/>
    <row r="44" ht="15.6" customHeight="1"/>
    <row r="45" ht="15.6" customHeight="1"/>
    <row r="46" ht="15.6" customHeight="1"/>
    <row r="47" ht="15.6" customHeight="1"/>
    <row r="48" ht="15.6" customHeight="1"/>
    <row r="49" ht="15.6" customHeight="1"/>
    <row r="50" ht="15.6" customHeight="1"/>
    <row r="51" ht="15.6" customHeight="1"/>
    <row r="52" ht="15.6" customHeight="1"/>
    <row r="53" ht="15.6" customHeight="1"/>
    <row r="54" ht="15.6" customHeight="1"/>
    <row r="55" ht="15.6" customHeight="1"/>
    <row r="56" ht="15.6" customHeight="1"/>
    <row r="57" ht="15.6" customHeight="1"/>
    <row r="58" ht="15.6" customHeight="1"/>
    <row r="59" ht="15.6" customHeight="1"/>
    <row r="60" ht="15.6" customHeight="1"/>
    <row r="61" ht="15.6" customHeight="1"/>
    <row r="62" ht="15.6" customHeight="1"/>
    <row r="63" ht="15.6" customHeight="1"/>
    <row r="64" ht="15.6" customHeight="1"/>
    <row r="65" ht="15.6" customHeight="1"/>
    <row r="66" ht="15.6" customHeight="1"/>
    <row r="67" ht="15.6" customHeight="1"/>
    <row r="68" ht="15.6" customHeight="1"/>
    <row r="69" ht="15.6" customHeight="1"/>
    <row r="70" ht="15.6" customHeight="1"/>
    <row r="71" ht="15.6" customHeight="1"/>
    <row r="72" ht="15.6" customHeight="1"/>
    <row r="73" ht="15.6" customHeight="1"/>
    <row r="74" ht="15.6" customHeight="1"/>
    <row r="75" ht="15.6" customHeight="1"/>
    <row r="76" ht="15.6" customHeight="1"/>
    <row r="77" ht="15.6" customHeight="1"/>
    <row r="78" ht="15.6" customHeight="1"/>
    <row r="79" ht="15.6" customHeight="1"/>
    <row r="80" ht="15.6" customHeight="1"/>
    <row r="81" ht="15.6" customHeight="1"/>
    <row r="82" ht="15.6" customHeight="1"/>
    <row r="83" ht="15.6" customHeight="1"/>
    <row r="84" ht="15.6" customHeight="1"/>
    <row r="85" ht="15.6" customHeight="1"/>
    <row r="86" ht="15.6" customHeight="1"/>
    <row r="87" ht="15.6" customHeight="1"/>
    <row r="88" ht="15.6" customHeight="1"/>
    <row r="89" ht="15.6" customHeight="1"/>
    <row r="90" ht="15.6" customHeight="1"/>
    <row r="91" ht="15.6" customHeight="1"/>
    <row r="92" ht="15.6" customHeight="1"/>
    <row r="93" ht="15.6" customHeight="1"/>
    <row r="94" ht="15.6" customHeight="1"/>
    <row r="95" ht="15.6" customHeight="1"/>
    <row r="96" ht="15.6" customHeight="1"/>
    <row r="97" ht="15.6" customHeight="1"/>
    <row r="98" ht="15.6" customHeight="1"/>
    <row r="99" ht="15.6" customHeight="1"/>
    <row r="100" ht="15.6" customHeight="1"/>
    <row r="101" ht="15.6" customHeight="1"/>
    <row r="102" ht="15.6" customHeight="1"/>
    <row r="103" ht="15.6" customHeight="1"/>
    <row r="104" ht="15.6" customHeight="1"/>
    <row r="105" ht="15.6" customHeight="1"/>
    <row r="106" ht="15.6" customHeight="1"/>
    <row r="107" ht="15.6" customHeight="1"/>
    <row r="108" ht="15.6" customHeight="1"/>
    <row r="109" ht="15.6" customHeight="1"/>
    <row r="110" ht="15.6" customHeight="1"/>
    <row r="111" ht="15.6" customHeight="1"/>
    <row r="112" ht="15.6" customHeight="1"/>
    <row r="113" ht="15.6" customHeight="1"/>
    <row r="114" ht="15.6" customHeight="1"/>
    <row r="115" ht="15.6" customHeight="1"/>
    <row r="116" ht="15.6" customHeight="1"/>
    <row r="117" ht="15.6" customHeight="1"/>
    <row r="118" ht="15.6" customHeight="1"/>
    <row r="119" ht="15.6" customHeight="1"/>
    <row r="120" ht="15.6" customHeight="1"/>
  </sheetData>
  <autoFilter ref="A1:P12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Cesar Obando</dc:creator>
  <dcterms:created xmlns:dcterms="http://purl.org/dc/terms/" xmlns:xsi="http://www.w3.org/2001/XMLSchema-instance" xsi:type="dcterms:W3CDTF">2024-04-24T19:21:08Z</dcterms:created>
  <dcterms:modified xmlns:dcterms="http://purl.org/dc/terms/" xmlns:xsi="http://www.w3.org/2001/XMLSchema-instance" xsi:type="dcterms:W3CDTF">2026-10-14T01:50:14Z</dcterms:modified>
  <cp:lastModifiedBy>XAVIER XP.. PONCE</cp:lastModifiedBy>
</cp:coreProperties>
</file>