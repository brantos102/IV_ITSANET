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V" sheetId="1" state="visible" r:id="rId1"/>
  </sheets>
  <definedNames>
    <definedName name="Z_94B3DD6E_819C_4FC1_A2FD_FA39AE06D2BF_.wvu.FilterData" localSheetId="0" hidden="1">REV!$A$1:$Q$623</definedName>
    <definedName name="_xlnm._FilterDatabase" localSheetId="0" hidden="1">'REV'!$A$1:$Q$623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color theme="1"/>
      <sz val="11"/>
      <scheme val="minor"/>
    </font>
    <font>
      <name val="Calibri"/>
      <color rgb="FF000000"/>
      <sz val="12"/>
    </font>
    <font>
      <name val="Calibri"/>
      <b val="1"/>
      <color rgb="FF000000"/>
      <sz val="12"/>
    </font>
    <font>
      <name val="Calibri"/>
      <b val="1"/>
      <color theme="0"/>
      <sz val="12"/>
    </font>
    <font>
      <name val="Calibri"/>
      <color theme="1"/>
      <sz val="12"/>
    </font>
    <font>
      <name val="Aptos Narrow"/>
      <color theme="1"/>
      <sz val="11"/>
    </font>
    <font>
      <name val="Aptos Narrow"/>
      <color rgb="FFFFFFFF"/>
      <sz val="11"/>
      <scheme val="minor"/>
    </font>
    <font>
      <name val="Aptos Narrow"/>
      <color theme="1"/>
      <sz val="11"/>
      <scheme val="minor"/>
    </font>
    <font>
      <name val="Calibri"/>
      <b val="1"/>
      <color theme="1"/>
      <sz val="12"/>
    </font>
  </fonts>
  <fills count="7">
    <fill>
      <patternFill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EA9999"/>
        <bgColor rgb="FFEA9999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7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/>
    </xf>
    <xf numFmtId="0" fontId="4" fillId="2" borderId="0" pivotButton="0" quotePrefix="0" xfId="0"/>
    <xf numFmtId="0" fontId="1" fillId="3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49" fontId="4" fillId="3" borderId="2" applyAlignment="1" pivotButton="0" quotePrefix="0" xfId="0">
      <alignment vertical="center"/>
    </xf>
    <xf numFmtId="2" fontId="4" fillId="3" borderId="2" applyAlignment="1" pivotButton="0" quotePrefix="0" xfId="0">
      <alignment vertical="center"/>
    </xf>
    <xf numFmtId="0" fontId="4" fillId="3" borderId="2" applyAlignment="1" pivotButton="0" quotePrefix="0" xfId="0">
      <alignment horizontal="left"/>
    </xf>
    <xf numFmtId="0" fontId="4" fillId="0" borderId="0" pivotButton="0" quotePrefix="0" xfId="0"/>
    <xf numFmtId="0" fontId="1" fillId="4" borderId="2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49" fontId="4" fillId="4" borderId="2" applyAlignment="1" pivotButton="0" quotePrefix="0" xfId="0">
      <alignment vertical="center"/>
    </xf>
    <xf numFmtId="2" fontId="4" fillId="4" borderId="2" applyAlignment="1" pivotButton="0" quotePrefix="0" xfId="0">
      <alignment vertical="center"/>
    </xf>
    <xf numFmtId="0" fontId="4" fillId="4" borderId="2" applyAlignment="1" pivotButton="0" quotePrefix="0" xfId="0">
      <alignment horizontal="left"/>
    </xf>
    <xf numFmtId="0" fontId="1" fillId="5" borderId="2" applyAlignment="1" pivotButton="0" quotePrefix="0" xfId="0">
      <alignment vertical="center"/>
    </xf>
    <xf numFmtId="0" fontId="4" fillId="5" borderId="2" applyAlignment="1" pivotButton="0" quotePrefix="0" xfId="0">
      <alignment vertical="center"/>
    </xf>
    <xf numFmtId="49" fontId="4" fillId="5" borderId="2" applyAlignment="1" pivotButton="0" quotePrefix="0" xfId="0">
      <alignment vertical="center"/>
    </xf>
    <xf numFmtId="2" fontId="4" fillId="5" borderId="2" applyAlignment="1" pivotButton="0" quotePrefix="0" xfId="0">
      <alignment vertical="center"/>
    </xf>
    <xf numFmtId="0" fontId="4" fillId="5" borderId="2" applyAlignment="1" pivotButton="0" quotePrefix="0" xfId="0">
      <alignment horizontal="left"/>
    </xf>
    <xf numFmtId="0" fontId="1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49" fontId="4" fillId="0" borderId="2" applyAlignment="1" pivotButton="0" quotePrefix="0" xfId="0">
      <alignment vertical="center"/>
    </xf>
    <xf numFmtId="2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left"/>
    </xf>
    <xf numFmtId="0" fontId="1" fillId="6" borderId="2" applyAlignment="1" pivotButton="0" quotePrefix="0" xfId="0">
      <alignment vertical="center"/>
    </xf>
    <xf numFmtId="0" fontId="4" fillId="6" borderId="2" applyAlignment="1" pivotButton="0" quotePrefix="0" xfId="0">
      <alignment vertical="center"/>
    </xf>
    <xf numFmtId="49" fontId="4" fillId="6" borderId="2" applyAlignment="1" pivotButton="0" quotePrefix="0" xfId="0">
      <alignment vertical="center"/>
    </xf>
    <xf numFmtId="2" fontId="4" fillId="6" borderId="2" applyAlignment="1" pivotButton="0" quotePrefix="0" xfId="0">
      <alignment vertical="center"/>
    </xf>
    <xf numFmtId="0" fontId="4" fillId="6" borderId="2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0" fontId="4" fillId="0" borderId="2" pivotButton="0" quotePrefix="0" xfId="0"/>
    <xf numFmtId="0" fontId="5" fillId="0" borderId="2" pivotButton="0" quotePrefix="0" xfId="0"/>
  </cellXfs>
  <cellStyles count="1">
    <cellStyle name="Normal" xfId="0" builtinId="0"/>
  </cellStyles>
  <dxfs count="8"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</dxfs>
  <tableStyles count="1" defaultTableStyle="TableStyleMedium9" defaultPivotStyle="PivotStyleLight16">
    <tableStyle name="MAESTRO-style" pivot="0" count="3">
      <tableStyleElement type="headerRow" dxfId="7"/>
      <tableStyleElement type="firstRowStripe" dxfId="6"/>
      <tableStyleElement type="secondRow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tabSelected="1" workbookViewId="0">
      <pane ySplit="1" topLeftCell="A2" activePane="bottomLeft" state="frozen"/>
      <selection pane="bottomLeft" activeCell="A4" sqref="A4"/>
    </sheetView>
  </sheetViews>
  <sheetFormatPr baseColWidth="10" defaultColWidth="12.6640625" defaultRowHeight="15" customHeight="1"/>
  <cols>
    <col width="21.6640625" customWidth="1" min="1" max="1"/>
    <col width="24.88671875" customWidth="1" min="2" max="2"/>
    <col hidden="1" width="18" customWidth="1" min="3" max="3"/>
    <col hidden="1" width="15.44140625" customWidth="1" min="4" max="4"/>
    <col width="15.33203125" customWidth="1" min="5" max="5"/>
    <col hidden="1" width="15.21875" customWidth="1" min="6" max="6"/>
    <col hidden="1" width="16.109375" customWidth="1" min="7" max="7"/>
    <col hidden="1" width="31.88671875" customWidth="1" min="8" max="8"/>
    <col hidden="1" width="14.6640625" customWidth="1" min="9" max="9"/>
    <col width="13.44140625" customWidth="1" min="10" max="10"/>
    <col width="15" customWidth="1" min="11" max="11"/>
    <col width="11.6640625" customWidth="1" min="12" max="13"/>
    <col hidden="1" width="8.21875" customWidth="1" min="14" max="14"/>
    <col hidden="1" width="15.44140625" customWidth="1" min="15" max="15"/>
    <col width="35.77734375" customWidth="1" min="16" max="16"/>
    <col width="14.21875" customWidth="1" min="17" max="17"/>
    <col width="10.6640625" customWidth="1" min="18" max="27"/>
  </cols>
  <sheetData>
    <row r="1" ht="14.25" customHeight="1">
      <c r="A1" s="1" t="inlineStr">
        <is>
          <t>ITEM</t>
        </is>
      </c>
      <c r="B1" s="2" t="inlineStr">
        <is>
          <t>Descripción</t>
        </is>
      </c>
      <c r="C1" s="2" t="inlineStr">
        <is>
          <t>ReferenciaPedido</t>
        </is>
      </c>
      <c r="D1" s="2" t="inlineStr">
        <is>
          <t>Factura</t>
        </is>
      </c>
      <c r="E1" s="2" t="inlineStr">
        <is>
          <t>Cantidad</t>
        </is>
      </c>
      <c r="F1" s="2" t="inlineStr">
        <is>
          <t>PrecioUnit</t>
        </is>
      </c>
      <c r="G1" s="2" t="inlineStr">
        <is>
          <t>PrecioTotal</t>
        </is>
      </c>
      <c r="H1" s="2" t="inlineStr">
        <is>
          <t>Numerodepiezareemplazo</t>
        </is>
      </c>
      <c r="I1" s="2" t="inlineStr">
        <is>
          <t>Embarque</t>
        </is>
      </c>
      <c r="J1" s="3" t="inlineStr">
        <is>
          <t>Cantidad Física</t>
        </is>
      </c>
      <c r="K1" s="4" t="inlineStr">
        <is>
          <t>Validación</t>
        </is>
      </c>
      <c r="L1" s="4" t="inlineStr">
        <is>
          <t>DESFACE</t>
        </is>
      </c>
      <c r="M1" s="4" t="inlineStr">
        <is>
          <t>PALLET</t>
        </is>
      </c>
      <c r="N1" s="4" t="inlineStr">
        <is>
          <t>CODIGO BARRA</t>
        </is>
      </c>
      <c r="O1" s="4" t="inlineStr">
        <is>
          <t>COD/PROD</t>
        </is>
      </c>
      <c r="P1" s="4" t="inlineStr">
        <is>
          <t>OBSERVACION</t>
        </is>
      </c>
      <c r="Q1" s="4" t="inlineStr">
        <is>
          <t>ok</t>
        </is>
      </c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</row>
    <row r="2" ht="14.25" customHeight="1">
      <c r="A2" s="6" t="inlineStr">
        <is>
          <t>6608297569C15</t>
        </is>
      </c>
      <c r="B2" s="6" t="inlineStr">
        <is>
          <t>BODY ASSY-ENGINE HOOD</t>
        </is>
      </c>
      <c r="C2" s="7" t="inlineStr">
        <is>
          <t>GSECD26301CS</t>
        </is>
      </c>
      <c r="D2" s="8" t="inlineStr">
        <is>
          <t>GSECD26301CS00</t>
        </is>
      </c>
      <c r="E2" s="7" t="n">
        <v>6</v>
      </c>
      <c r="F2" s="7" t="n">
        <v>162.97</v>
      </c>
      <c r="G2" s="9" t="n">
        <v>977.8200000000001</v>
      </c>
      <c r="H2" s="7" t="n"/>
      <c r="I2" s="7" t="inlineStr">
        <is>
          <t>RC66570</t>
        </is>
      </c>
      <c r="J2" s="7" t="n">
        <v>5</v>
      </c>
      <c r="K2" s="10">
        <f>IF(J2="","",IF(J2=E2,"Ok",IF(J2&lt;E2,"Faltante",IF(J2&gt;E2,"Sobrante",""))))</f>
        <v/>
      </c>
      <c r="L2" s="10">
        <f>J2-E2</f>
        <v/>
      </c>
      <c r="M2" s="10" t="inlineStr">
        <is>
          <t>H12</t>
        </is>
      </c>
      <c r="N2" s="10" t="n"/>
      <c r="O2" s="10" t="n"/>
      <c r="P2" s="10" t="inlineStr">
        <is>
          <t>CAJA DETERIORADA 1 UND PARA PRE-EGRESO</t>
        </is>
      </c>
      <c r="Q2" s="10">
        <f>VLOOKUP(A2,MAESTRO!$B$2:$E$17321,4,0)</f>
        <v/>
      </c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</row>
    <row r="3" ht="14.25" customHeight="1">
      <c r="A3" s="12" t="inlineStr">
        <is>
          <t>6608089258</t>
        </is>
      </c>
      <c r="B3" s="12" t="inlineStr">
        <is>
          <t>REFLECTOR-RR BMP LH</t>
        </is>
      </c>
      <c r="C3" s="13" t="inlineStr">
        <is>
          <t>GSECD26301CS</t>
        </is>
      </c>
      <c r="D3" s="14" t="inlineStr">
        <is>
          <t>GSECD26301CS00</t>
        </is>
      </c>
      <c r="E3" s="13" t="n">
        <v>9</v>
      </c>
      <c r="F3" s="13" t="n">
        <v>2.51</v>
      </c>
      <c r="G3" s="15" t="n">
        <v>22.59</v>
      </c>
      <c r="H3" s="13" t="n"/>
      <c r="I3" s="13" t="inlineStr">
        <is>
          <t>RC66570</t>
        </is>
      </c>
      <c r="J3" s="13" t="n">
        <v>10</v>
      </c>
      <c r="K3" s="16">
        <f>IF(J3="","",IF(J3=E3,"Ok",IF(J3&lt;E3,"Faltante",IF(J3&gt;E3,"Sobrante",""))))</f>
        <v/>
      </c>
      <c r="L3" s="16">
        <f>J3-E3</f>
        <v/>
      </c>
      <c r="M3" s="16" t="inlineStr">
        <is>
          <t>H48</t>
        </is>
      </c>
      <c r="N3" s="16" t="n"/>
      <c r="O3" s="16" t="n"/>
      <c r="P3" s="16" t="inlineStr">
        <is>
          <t xml:space="preserve">SOBRANTE CONFIRMADO </t>
        </is>
      </c>
      <c r="Q3" s="16">
        <f>VLOOKUP(A3,MAESTRO!$B$2:$E$17321,4,0)</f>
        <v/>
      </c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</row>
    <row r="4" ht="14.25" customHeight="1">
      <c r="A4" s="17" t="inlineStr">
        <is>
          <t>6608199702</t>
        </is>
      </c>
      <c r="B4" s="17" t="inlineStr">
        <is>
          <t>RH SIDE BODY C-PILLAR CORNER WDW GLASS</t>
        </is>
      </c>
      <c r="C4" s="18" t="inlineStr">
        <is>
          <t>GSECD26301CS</t>
        </is>
      </c>
      <c r="D4" s="19" t="inlineStr">
        <is>
          <t>GSECD26301CS00</t>
        </is>
      </c>
      <c r="E4" s="18" t="n">
        <v>6</v>
      </c>
      <c r="F4" s="18" t="n">
        <v>34.95</v>
      </c>
      <c r="G4" s="20" t="n">
        <v>209.7</v>
      </c>
      <c r="H4" s="18" t="n"/>
      <c r="I4" s="18" t="inlineStr">
        <is>
          <t>RC66570</t>
        </is>
      </c>
      <c r="J4" s="18" t="n">
        <v>6</v>
      </c>
      <c r="K4" s="21">
        <f>IF(J4="","",IF(J4=E4,"Ok",IF(J4&lt;E4,"Faltante",IF(J4&gt;E4,"Sobrante",""))))</f>
        <v/>
      </c>
      <c r="L4" s="21">
        <f>J4-E4</f>
        <v/>
      </c>
      <c r="M4" s="21" t="inlineStr">
        <is>
          <t>H31</t>
        </is>
      </c>
      <c r="N4" s="21" t="n"/>
      <c r="O4" s="21" t="n"/>
      <c r="P4" s="21" t="inlineStr">
        <is>
          <t>CAJAS DE PROTECCION APLASTADAS</t>
        </is>
      </c>
      <c r="Q4" s="21">
        <f>VLOOKUP(A4,MAESTRO!$B$2:$E$17321,4,0)</f>
        <v/>
      </c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</row>
    <row r="5" ht="14.25" customHeight="1">
      <c r="A5" s="17" t="inlineStr">
        <is>
          <t>6608095134</t>
        </is>
      </c>
      <c r="B5" s="17" t="inlineStr">
        <is>
          <t>AIR DEFLECTOR ASSY-RADIATOR</t>
        </is>
      </c>
      <c r="C5" s="18" t="inlineStr">
        <is>
          <t>GSECD26301CS</t>
        </is>
      </c>
      <c r="D5" s="19" t="inlineStr">
        <is>
          <t>GSECD26301CS00</t>
        </is>
      </c>
      <c r="E5" s="18" t="n">
        <v>3</v>
      </c>
      <c r="F5" s="18" t="n">
        <v>17.36</v>
      </c>
      <c r="G5" s="20" t="n">
        <v>52.08</v>
      </c>
      <c r="H5" s="18" t="n"/>
      <c r="I5" s="18" t="inlineStr">
        <is>
          <t>RC66570</t>
        </is>
      </c>
      <c r="J5" s="18" t="n">
        <v>3</v>
      </c>
      <c r="K5" s="21">
        <f>IF(J5="","",IF(J5=E5,"Ok",IF(J5&lt;E5,"Faltante",IF(J5&gt;E5,"Sobrante",""))))</f>
        <v/>
      </c>
      <c r="L5" s="21">
        <f>J5-E5</f>
        <v/>
      </c>
      <c r="M5" s="21" t="inlineStr">
        <is>
          <t>H04</t>
        </is>
      </c>
      <c r="N5" s="21" t="n"/>
      <c r="O5" s="21" t="n"/>
      <c r="P5" s="21" t="inlineStr">
        <is>
          <t>1 UND P.N.C. MATERIAL DOBLADO</t>
        </is>
      </c>
      <c r="Q5" s="21">
        <f>VLOOKUP(A5,MAESTRO!$B$2:$E$17321,4,0)</f>
        <v/>
      </c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</row>
    <row r="6" ht="14.25" customHeight="1">
      <c r="A6" s="17" t="inlineStr">
        <is>
          <t>6608221630C15</t>
        </is>
      </c>
      <c r="B6" s="17" t="inlineStr">
        <is>
          <t>DOOR BODY ASSY-FRT RH</t>
        </is>
      </c>
      <c r="C6" s="18" t="inlineStr">
        <is>
          <t>GSECD26301CS</t>
        </is>
      </c>
      <c r="D6" s="19" t="inlineStr">
        <is>
          <t>GSECD26301CS00</t>
        </is>
      </c>
      <c r="E6" s="18" t="n">
        <v>2</v>
      </c>
      <c r="F6" s="18" t="n">
        <v>252.84</v>
      </c>
      <c r="G6" s="20" t="n">
        <v>505.68</v>
      </c>
      <c r="H6" s="18" t="n"/>
      <c r="I6" s="18" t="inlineStr">
        <is>
          <t>RC66570</t>
        </is>
      </c>
      <c r="J6" s="18" t="n">
        <v>2</v>
      </c>
      <c r="K6" s="21">
        <f>IF(J6="","",IF(J6=E6,"Ok",IF(J6&lt;E6,"Faltante",IF(J6&gt;E6,"Sobrante",""))))</f>
        <v/>
      </c>
      <c r="L6" s="21">
        <f>J6-E6</f>
        <v/>
      </c>
      <c r="M6" s="21" t="inlineStr">
        <is>
          <t>H39</t>
        </is>
      </c>
      <c r="N6" s="21" t="n"/>
      <c r="O6" s="21" t="n"/>
      <c r="P6" s="21" t="inlineStr">
        <is>
          <t>CAJAS DE PROTECCION ROTAS</t>
        </is>
      </c>
      <c r="Q6" s="21">
        <f>VLOOKUP(A6,MAESTRO!$B$2:$E$17321,4,0)</f>
        <v/>
      </c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</row>
    <row r="7" ht="14.25" customHeight="1">
      <c r="A7" s="17" t="inlineStr">
        <is>
          <t>6608221631C15</t>
        </is>
      </c>
      <c r="B7" s="17" t="inlineStr">
        <is>
          <t>DOOR BODY ASSY-FRT LH</t>
        </is>
      </c>
      <c r="C7" s="18" t="inlineStr">
        <is>
          <t>GSECD26301CS</t>
        </is>
      </c>
      <c r="D7" s="19" t="inlineStr">
        <is>
          <t>GSECD26301CS00</t>
        </is>
      </c>
      <c r="E7" s="18" t="n">
        <v>2</v>
      </c>
      <c r="F7" s="18" t="n">
        <v>252.84</v>
      </c>
      <c r="G7" s="20" t="n">
        <v>505.68</v>
      </c>
      <c r="H7" s="18" t="n"/>
      <c r="I7" s="18" t="inlineStr">
        <is>
          <t>RC66570</t>
        </is>
      </c>
      <c r="J7" s="18" t="n">
        <v>2</v>
      </c>
      <c r="K7" s="21">
        <f>IF(J7="","",IF(J7=E7,"Ok",IF(J7&lt;E7,"Faltante",IF(J7&gt;E7,"Sobrante",""))))</f>
        <v/>
      </c>
      <c r="L7" s="21">
        <f>J7-E7</f>
        <v/>
      </c>
      <c r="M7" s="21" t="inlineStr">
        <is>
          <t>H39</t>
        </is>
      </c>
      <c r="N7" s="21" t="n"/>
      <c r="O7" s="21" t="n"/>
      <c r="P7" s="21" t="inlineStr">
        <is>
          <t>CAJAS DE PROTECCION ROTAS</t>
        </is>
      </c>
      <c r="Q7" s="21">
        <f>VLOOKUP(A7,MAESTRO!$B$2:$E$17321,4,0)</f>
        <v/>
      </c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</row>
    <row r="8" ht="14.25" customHeight="1">
      <c r="A8" s="17" t="inlineStr">
        <is>
          <t>6608140644</t>
        </is>
      </c>
      <c r="B8" s="17" t="inlineStr">
        <is>
          <t>ROOF RACKS-RH</t>
        </is>
      </c>
      <c r="C8" s="18" t="inlineStr">
        <is>
          <t>GSECD26301CS</t>
        </is>
      </c>
      <c r="D8" s="19" t="inlineStr">
        <is>
          <t>GSECD26301CS00</t>
        </is>
      </c>
      <c r="E8" s="18" t="n">
        <v>1</v>
      </c>
      <c r="F8" s="18" t="n">
        <v>40.77</v>
      </c>
      <c r="G8" s="20" t="n">
        <v>40.77</v>
      </c>
      <c r="H8" s="18" t="n"/>
      <c r="I8" s="18" t="inlineStr">
        <is>
          <t>RC66570</t>
        </is>
      </c>
      <c r="J8" s="18" t="n">
        <v>1</v>
      </c>
      <c r="K8" s="21">
        <f>IF(J8="","",IF(J8=E8,"Ok",IF(J8&lt;E8,"Faltante",IF(J8&gt;E8,"Sobrante",""))))</f>
        <v/>
      </c>
      <c r="L8" s="21">
        <f>J8-E8</f>
        <v/>
      </c>
      <c r="M8" s="21" t="inlineStr">
        <is>
          <t>H52</t>
        </is>
      </c>
      <c r="N8" s="21" t="n"/>
      <c r="O8" s="21" t="n"/>
      <c r="P8" s="21" t="inlineStr">
        <is>
          <t>1 UND. P.N.C MATERIAL RASPADO</t>
        </is>
      </c>
      <c r="Q8" s="21">
        <f>VLOOKUP(A8,MAESTRO!$B$2:$E$17321,4,0)</f>
        <v/>
      </c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</row>
    <row r="9" ht="14.25" customHeight="1">
      <c r="A9" s="17" t="inlineStr">
        <is>
          <t>6608171609</t>
        </is>
      </c>
      <c r="B9" s="17" t="inlineStr">
        <is>
          <t>RR BUMPER UPR BODY</t>
        </is>
      </c>
      <c r="C9" s="18" t="inlineStr">
        <is>
          <t>GSECD26301CS</t>
        </is>
      </c>
      <c r="D9" s="19" t="inlineStr">
        <is>
          <t>GSECD26301CS00</t>
        </is>
      </c>
      <c r="E9" s="18" t="n">
        <v>7</v>
      </c>
      <c r="F9" s="18" t="n">
        <v>46.8</v>
      </c>
      <c r="G9" s="20" t="n">
        <v>327.6</v>
      </c>
      <c r="H9" s="18" t="n"/>
      <c r="I9" s="18" t="inlineStr">
        <is>
          <t>RC66570</t>
        </is>
      </c>
      <c r="J9" s="18" t="n">
        <v>7</v>
      </c>
      <c r="K9" s="21">
        <f>IF(J9="","",IF(J9=E9,"Ok",IF(J9&lt;E9,"Faltante",IF(J9&gt;E9,"Sobrante",""))))</f>
        <v/>
      </c>
      <c r="L9" s="21">
        <f>J9-E9</f>
        <v/>
      </c>
      <c r="M9" s="21" t="inlineStr">
        <is>
          <t>H03</t>
        </is>
      </c>
      <c r="N9" s="21" t="n"/>
      <c r="O9" s="21" t="n"/>
      <c r="P9" s="21" t="inlineStr">
        <is>
          <t>P.N.C DEFECTO DE FABRICA  RAYADO</t>
        </is>
      </c>
      <c r="Q9" s="21">
        <f>VLOOKUP(A9,MAESTRO!$B$2:$E$17321,4,0)</f>
        <v/>
      </c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</row>
    <row r="10" ht="14.25" customHeight="1">
      <c r="A10" s="17" t="inlineStr">
        <is>
          <t>6608255300L35</t>
        </is>
      </c>
      <c r="B10" s="17" t="inlineStr">
        <is>
          <t>INSTRUMENT PANEL BODY ASSY</t>
        </is>
      </c>
      <c r="C10" s="18" t="inlineStr">
        <is>
          <t>GSECD26301CS</t>
        </is>
      </c>
      <c r="D10" s="19" t="inlineStr">
        <is>
          <t>GSECD26301CS00</t>
        </is>
      </c>
      <c r="E10" s="18" t="n">
        <v>1</v>
      </c>
      <c r="F10" s="18" t="n">
        <v>202.65</v>
      </c>
      <c r="G10" s="20" t="n">
        <v>202.65</v>
      </c>
      <c r="H10" s="18" t="n"/>
      <c r="I10" s="18" t="inlineStr">
        <is>
          <t>RC66570</t>
        </is>
      </c>
      <c r="J10" s="18" t="n">
        <v>1</v>
      </c>
      <c r="K10" s="21">
        <f>IF(J10="","",IF(J10=E10,"Ok",IF(J10&lt;E10,"Faltante",IF(J10&gt;E10,"Sobrante",""))))</f>
        <v/>
      </c>
      <c r="L10" s="21">
        <f>J10-E10</f>
        <v/>
      </c>
      <c r="M10" s="21" t="inlineStr">
        <is>
          <t>H52</t>
        </is>
      </c>
      <c r="N10" s="21" t="n"/>
      <c r="O10" s="21" t="n"/>
      <c r="P10" s="21" t="inlineStr">
        <is>
          <t xml:space="preserve">CAJA DE PROTECCION APLASTADA </t>
        </is>
      </c>
      <c r="Q10" s="21">
        <f>VLOOKUP(A10,MAESTRO!$B$2:$E$17321,4,0)</f>
        <v/>
      </c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</row>
    <row r="11" ht="14.25" customHeight="1">
      <c r="A11" s="17" t="inlineStr">
        <is>
          <t>6608171609</t>
        </is>
      </c>
      <c r="B11" s="17" t="inlineStr">
        <is>
          <t>RR BUMPER UPR BODY</t>
        </is>
      </c>
      <c r="C11" s="18" t="inlineStr">
        <is>
          <t>GSECD26301CS</t>
        </is>
      </c>
      <c r="D11" s="19" t="inlineStr">
        <is>
          <t>GSECD26301CS00</t>
        </is>
      </c>
      <c r="E11" s="18" t="n">
        <v>3</v>
      </c>
      <c r="F11" s="18" t="n">
        <v>46.8</v>
      </c>
      <c r="G11" s="20" t="n">
        <v>140.4</v>
      </c>
      <c r="H11" s="18" t="n"/>
      <c r="I11" s="18" t="inlineStr">
        <is>
          <t>RC66570</t>
        </is>
      </c>
      <c r="J11" s="18" t="n">
        <v>3</v>
      </c>
      <c r="K11" s="21">
        <f>IF(J11="","",IF(J11=E11,"Ok",IF(J11&lt;E11,"Faltante",IF(J11&gt;E11,"Sobrante",""))))</f>
        <v/>
      </c>
      <c r="L11" s="21">
        <f>J11-E11</f>
        <v/>
      </c>
      <c r="M11" s="21" t="inlineStr">
        <is>
          <t>H03</t>
        </is>
      </c>
      <c r="N11" s="21" t="n"/>
      <c r="O11" s="21" t="n"/>
      <c r="P11" s="21" t="inlineStr">
        <is>
          <t>P.N.C DEFECTO DE FABRICA  RAYADO</t>
        </is>
      </c>
      <c r="Q11" s="21">
        <f>VLOOKUP(A11,MAESTRO!$B$2:$E$17321,4,0)</f>
        <v/>
      </c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</row>
    <row r="12" ht="14.25" customHeight="1">
      <c r="A12" s="17" t="inlineStr">
        <is>
          <t>6608138012C15</t>
        </is>
      </c>
      <c r="B12" s="17" t="inlineStr">
        <is>
          <t>FRT FENDER LH</t>
        </is>
      </c>
      <c r="C12" s="18" t="inlineStr">
        <is>
          <t>GSECD26301CS</t>
        </is>
      </c>
      <c r="D12" s="19" t="inlineStr">
        <is>
          <t>GSECD26301CS00</t>
        </is>
      </c>
      <c r="E12" s="18" t="n">
        <v>3</v>
      </c>
      <c r="F12" s="18" t="n">
        <v>56.03</v>
      </c>
      <c r="G12" s="20" t="n">
        <v>168.09</v>
      </c>
      <c r="H12" s="18" t="n"/>
      <c r="I12" s="18" t="inlineStr">
        <is>
          <t>RC66570</t>
        </is>
      </c>
      <c r="J12" s="18" t="n">
        <v>3</v>
      </c>
      <c r="K12" s="21">
        <f>IF(J12="","",IF(J12=E12,"Ok",IF(J12&lt;E12,"Faltante",IF(J12&gt;E12,"Sobrante",""))))</f>
        <v/>
      </c>
      <c r="L12" s="21">
        <f>J12-E12</f>
        <v/>
      </c>
      <c r="M12" s="21" t="inlineStr">
        <is>
          <t>H02</t>
        </is>
      </c>
      <c r="N12" s="21" t="n"/>
      <c r="O12" s="21" t="n"/>
      <c r="P12" s="21" t="inlineStr">
        <is>
          <t>CAJAS DE PROTECCION APLASTADAS Y ROTAS</t>
        </is>
      </c>
      <c r="Q12" s="21">
        <f>VLOOKUP(A12,MAESTRO!$B$2:$E$17321,4,0)</f>
        <v/>
      </c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</row>
    <row r="13" ht="14.25" customHeight="1">
      <c r="A13" s="17" t="inlineStr">
        <is>
          <t>6608138012C15</t>
        </is>
      </c>
      <c r="B13" s="17" t="inlineStr">
        <is>
          <t>FRT FENDER LH</t>
        </is>
      </c>
      <c r="C13" s="18" t="inlineStr">
        <is>
          <t>GSECD26301CS</t>
        </is>
      </c>
      <c r="D13" s="19" t="inlineStr">
        <is>
          <t>GSECD26301CS00</t>
        </is>
      </c>
      <c r="E13" s="18" t="n">
        <v>3</v>
      </c>
      <c r="F13" s="18" t="n">
        <v>56.03</v>
      </c>
      <c r="G13" s="20" t="n">
        <v>168.09</v>
      </c>
      <c r="H13" s="18" t="n"/>
      <c r="I13" s="18" t="inlineStr">
        <is>
          <t>RC66570</t>
        </is>
      </c>
      <c r="J13" s="18" t="n">
        <v>3</v>
      </c>
      <c r="K13" s="21">
        <f>IF(J13="","",IF(J13=E13,"Ok",IF(J13&lt;E13,"Faltante",IF(J13&gt;E13,"Sobrante",""))))</f>
        <v/>
      </c>
      <c r="L13" s="21">
        <f>J13-E13</f>
        <v/>
      </c>
      <c r="M13" s="21" t="inlineStr">
        <is>
          <t>H02</t>
        </is>
      </c>
      <c r="N13" s="21" t="n"/>
      <c r="O13" s="21" t="n"/>
      <c r="P13" s="21" t="inlineStr">
        <is>
          <t>CAJAS DE PROTECCION APLASTADAS Y ROTAS</t>
        </is>
      </c>
      <c r="Q13" s="21">
        <f>VLOOKUP(A13,MAESTRO!$B$2:$E$17321,4,0)</f>
        <v/>
      </c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</row>
    <row r="14" ht="14.25" customHeight="1">
      <c r="A14" s="17" t="inlineStr">
        <is>
          <t>6608297567C15</t>
        </is>
      </c>
      <c r="B14" s="17" t="inlineStr">
        <is>
          <t>DOOR BODY ASSY-RR RH</t>
        </is>
      </c>
      <c r="C14" s="18" t="inlineStr">
        <is>
          <t>GSECD26301CS</t>
        </is>
      </c>
      <c r="D14" s="19" t="inlineStr">
        <is>
          <t>GSECD26301CS00</t>
        </is>
      </c>
      <c r="E14" s="18" t="n">
        <v>5</v>
      </c>
      <c r="F14" s="18" t="n">
        <v>191.11</v>
      </c>
      <c r="G14" s="20" t="n">
        <v>955.55</v>
      </c>
      <c r="H14" s="18" t="n"/>
      <c r="I14" s="18" t="inlineStr">
        <is>
          <t>RC66570</t>
        </is>
      </c>
      <c r="J14" s="18" t="n">
        <v>5</v>
      </c>
      <c r="K14" s="21">
        <f>IF(J14="","",IF(J14=E14,"Ok",IF(J14&lt;E14,"Faltante",IF(J14&gt;E14,"Sobrante",""))))</f>
        <v/>
      </c>
      <c r="L14" s="21">
        <f>J14-E14</f>
        <v/>
      </c>
      <c r="M14" s="21" t="inlineStr">
        <is>
          <t>H05</t>
        </is>
      </c>
      <c r="N14" s="21" t="n"/>
      <c r="O14" s="21" t="n"/>
      <c r="P14" s="21" t="inlineStr">
        <is>
          <t>1 P.N.C. FALLA DE FABRICA Y CAJAS DE PROTECCION APLASTADAS</t>
        </is>
      </c>
      <c r="Q14" s="21">
        <f>VLOOKUP(A14,MAESTRO!$B$2:$E$17321,4,0)</f>
        <v/>
      </c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</row>
    <row r="15" ht="14.25" customHeight="1">
      <c r="A15" s="17" t="inlineStr">
        <is>
          <t>6608285472C15</t>
        </is>
      </c>
      <c r="B15" s="17" t="inlineStr">
        <is>
          <t>BODY ASSY-TAILGATE</t>
        </is>
      </c>
      <c r="C15" s="18" t="inlineStr">
        <is>
          <t>GSECD26301CS</t>
        </is>
      </c>
      <c r="D15" s="19" t="inlineStr">
        <is>
          <t>GSECD26301CS00</t>
        </is>
      </c>
      <c r="E15" s="18" t="n">
        <v>2</v>
      </c>
      <c r="F15" s="18" t="n">
        <v>233.04</v>
      </c>
      <c r="G15" s="20" t="n">
        <v>466.08</v>
      </c>
      <c r="H15" s="18" t="n"/>
      <c r="I15" s="18" t="inlineStr">
        <is>
          <t>RC66570</t>
        </is>
      </c>
      <c r="J15" s="18" t="n">
        <v>2</v>
      </c>
      <c r="K15" s="21">
        <f>IF(J15="","",IF(J15=E15,"Ok",IF(J15&lt;E15,"Faltante",IF(J15&gt;E15,"Sobrante",""))))</f>
        <v/>
      </c>
      <c r="L15" s="21">
        <f>J15-E15</f>
        <v/>
      </c>
      <c r="M15" s="21" t="inlineStr">
        <is>
          <t>H08</t>
        </is>
      </c>
      <c r="N15" s="21" t="n"/>
      <c r="O15" s="21" t="n"/>
      <c r="P15" s="21" t="inlineStr">
        <is>
          <t>CAJA DE PROTECCION ROTA</t>
        </is>
      </c>
      <c r="Q15" s="21">
        <f>VLOOKUP(A15,MAESTRO!$B$2:$E$17321,4,0)</f>
        <v/>
      </c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</row>
    <row r="16" ht="14.25" customHeight="1">
      <c r="A16" s="17" t="inlineStr">
        <is>
          <t>6608297562C15</t>
        </is>
      </c>
      <c r="B16" s="17" t="inlineStr">
        <is>
          <t>BODY ASSY-ENGINE HOOD</t>
        </is>
      </c>
      <c r="C16" s="18" t="inlineStr">
        <is>
          <t>GSECD26301CS</t>
        </is>
      </c>
      <c r="D16" s="19" t="inlineStr">
        <is>
          <t>GSECD26301CS00</t>
        </is>
      </c>
      <c r="E16" s="18" t="n">
        <v>1</v>
      </c>
      <c r="F16" s="18" t="n">
        <v>206.87</v>
      </c>
      <c r="G16" s="20" t="n">
        <v>206.87</v>
      </c>
      <c r="H16" s="18" t="n"/>
      <c r="I16" s="18" t="inlineStr">
        <is>
          <t>RC66570</t>
        </is>
      </c>
      <c r="J16" s="18" t="n">
        <v>1</v>
      </c>
      <c r="K16" s="21">
        <f>IF(J16="","",IF(J16=E16,"Ok",IF(J16&lt;E16,"Faltante",IF(J16&gt;E16,"Sobrante",""))))</f>
        <v/>
      </c>
      <c r="L16" s="21">
        <f>J16-E16</f>
        <v/>
      </c>
      <c r="M16" s="21" t="inlineStr">
        <is>
          <t>H14</t>
        </is>
      </c>
      <c r="N16" s="21" t="n"/>
      <c r="O16" s="21" t="n"/>
      <c r="P16" s="21" t="inlineStr">
        <is>
          <t>CAJA DE PROTECCION ROTA</t>
        </is>
      </c>
      <c r="Q16" s="21">
        <f>VLOOKUP(A16,MAESTRO!$B$2:$E$17321,4,0)</f>
        <v/>
      </c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</row>
    <row r="17" ht="14.25" customHeight="1">
      <c r="A17" s="17" t="inlineStr">
        <is>
          <t>6608285472C15</t>
        </is>
      </c>
      <c r="B17" s="17" t="inlineStr">
        <is>
          <t>BODY ASSY-TAILGATE</t>
        </is>
      </c>
      <c r="C17" s="18" t="inlineStr">
        <is>
          <t>GSECD26301CS</t>
        </is>
      </c>
      <c r="D17" s="19" t="inlineStr">
        <is>
          <t>GSECD26301CS00</t>
        </is>
      </c>
      <c r="E17" s="18" t="n">
        <v>1</v>
      </c>
      <c r="F17" s="18" t="n">
        <v>233.04</v>
      </c>
      <c r="G17" s="20" t="n">
        <v>233.04</v>
      </c>
      <c r="H17" s="18" t="n"/>
      <c r="I17" s="18" t="inlineStr">
        <is>
          <t>RC66570</t>
        </is>
      </c>
      <c r="J17" s="18" t="n">
        <v>1</v>
      </c>
      <c r="K17" s="21">
        <f>IF(J17="","",IF(J17=E17,"Ok",IF(J17&lt;E17,"Faltante",IF(J17&gt;E17,"Sobrante",""))))</f>
        <v/>
      </c>
      <c r="L17" s="21">
        <f>J17-E17</f>
        <v/>
      </c>
      <c r="M17" s="21" t="inlineStr">
        <is>
          <t>H08</t>
        </is>
      </c>
      <c r="N17" s="21" t="n"/>
      <c r="O17" s="21" t="n"/>
      <c r="P17" s="21" t="inlineStr">
        <is>
          <t>CAJA DE PROTECCION ROTA</t>
        </is>
      </c>
      <c r="Q17" s="21">
        <f>VLOOKUP(A17,MAESTRO!$B$2:$E$17321,4,0)</f>
        <v/>
      </c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</row>
    <row r="18" ht="14.25" customHeight="1">
      <c r="A18" s="17" t="inlineStr">
        <is>
          <t>6608297560C15</t>
        </is>
      </c>
      <c r="B18" s="17" t="inlineStr">
        <is>
          <t>DOOR BODY ASSY-RR RH</t>
        </is>
      </c>
      <c r="C18" s="18" t="inlineStr">
        <is>
          <t>GSECD26301CS</t>
        </is>
      </c>
      <c r="D18" s="19" t="inlineStr">
        <is>
          <t>GSECD26301CS00</t>
        </is>
      </c>
      <c r="E18" s="18" t="n">
        <v>4</v>
      </c>
      <c r="F18" s="18" t="n">
        <v>298.3</v>
      </c>
      <c r="G18" s="20" t="n">
        <v>1193.2</v>
      </c>
      <c r="H18" s="18" t="n"/>
      <c r="I18" s="18" t="inlineStr">
        <is>
          <t>RC66570</t>
        </is>
      </c>
      <c r="J18" s="18" t="n">
        <v>4</v>
      </c>
      <c r="K18" s="21">
        <f>IF(J18="","",IF(J18=E18,"Ok",IF(J18&lt;E18,"Faltante",IF(J18&gt;E18,"Sobrante",""))))</f>
        <v/>
      </c>
      <c r="L18" s="21">
        <f>J18-E18</f>
        <v/>
      </c>
      <c r="M18" s="21" t="inlineStr">
        <is>
          <t>H37</t>
        </is>
      </c>
      <c r="N18" s="21" t="n"/>
      <c r="O18" s="21" t="n"/>
      <c r="P18" s="21" t="inlineStr">
        <is>
          <t>CAJA DE PROTECCION APLASTADA</t>
        </is>
      </c>
      <c r="Q18" s="21">
        <f>VLOOKUP(A18,MAESTRO!$B$2:$E$17321,4,0)</f>
        <v/>
      </c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</row>
    <row r="19" ht="14.25" customHeight="1">
      <c r="A19" s="17" t="inlineStr">
        <is>
          <t>6608297562C15</t>
        </is>
      </c>
      <c r="B19" s="17" t="inlineStr">
        <is>
          <t>BODY ASSY-ENGINE HOOD</t>
        </is>
      </c>
      <c r="C19" s="18" t="inlineStr">
        <is>
          <t>GSECD26301CS</t>
        </is>
      </c>
      <c r="D19" s="19" t="inlineStr">
        <is>
          <t>GSECD26301CS00</t>
        </is>
      </c>
      <c r="E19" s="18" t="n">
        <v>1</v>
      </c>
      <c r="F19" s="18" t="n">
        <v>206.87</v>
      </c>
      <c r="G19" s="20" t="n">
        <v>206.87</v>
      </c>
      <c r="H19" s="18" t="n"/>
      <c r="I19" s="18" t="inlineStr">
        <is>
          <t>RC66570</t>
        </is>
      </c>
      <c r="J19" s="18" t="n">
        <v>1</v>
      </c>
      <c r="K19" s="21">
        <f>IF(J19="","",IF(J19=E19,"Ok",IF(J19&lt;E19,"Faltante",IF(J19&gt;E19,"Sobrante",""))))</f>
        <v/>
      </c>
      <c r="L19" s="21">
        <f>J19-E19</f>
        <v/>
      </c>
      <c r="M19" s="21" t="inlineStr">
        <is>
          <t>H14</t>
        </is>
      </c>
      <c r="N19" s="21" t="n"/>
      <c r="O19" s="21" t="n"/>
      <c r="P19" s="21" t="inlineStr">
        <is>
          <t>CAJA DE PROTECCION ROTA</t>
        </is>
      </c>
      <c r="Q19" s="21">
        <f>VLOOKUP(A19,MAESTRO!$B$2:$E$17321,4,0)</f>
        <v/>
      </c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</row>
    <row r="20" ht="14.25" customHeight="1">
      <c r="A20" s="17" t="inlineStr">
        <is>
          <t>5511800380</t>
        </is>
      </c>
      <c r="B20" s="17" t="inlineStr">
        <is>
          <t>TIMING CHAIN TENSIONER</t>
        </is>
      </c>
      <c r="C20" s="18" t="inlineStr">
        <is>
          <t>GSECD26301CS</t>
        </is>
      </c>
      <c r="D20" s="19" t="inlineStr">
        <is>
          <t>GSECD26301CS00</t>
        </is>
      </c>
      <c r="E20" s="18" t="n">
        <v>2</v>
      </c>
      <c r="F20" s="18" t="n">
        <v>6.86</v>
      </c>
      <c r="G20" s="20" t="n">
        <v>13.72</v>
      </c>
      <c r="H20" s="18" t="n"/>
      <c r="I20" s="18" t="inlineStr">
        <is>
          <t>RC66570</t>
        </is>
      </c>
      <c r="J20" s="18" t="n">
        <v>2</v>
      </c>
      <c r="K20" s="21">
        <f>IF(J20="","",IF(J20=E20,"Ok",IF(J20&lt;E20,"Faltante",IF(J20&gt;E20,"Sobrante",""))))</f>
        <v/>
      </c>
      <c r="L20" s="21">
        <f>J20-E20</f>
        <v/>
      </c>
      <c r="M20" s="21" t="inlineStr">
        <is>
          <t>H41.1</t>
        </is>
      </c>
      <c r="N20" s="21" t="n"/>
      <c r="O20" s="21" t="n"/>
      <c r="P20" s="21" t="inlineStr">
        <is>
          <t>CAJA DE PROTECCION APLASTADA</t>
        </is>
      </c>
      <c r="Q20" s="21">
        <f>VLOOKUP(A20,MAESTRO!$B$2:$E$17321,4,0)</f>
        <v/>
      </c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</row>
    <row r="21" ht="14.25" customHeight="1">
      <c r="A21" s="17" t="inlineStr">
        <is>
          <t>6608028538C15</t>
        </is>
      </c>
      <c r="B21" s="17" t="inlineStr">
        <is>
          <t>FRT FENDER RH</t>
        </is>
      </c>
      <c r="C21" s="18" t="inlineStr">
        <is>
          <t>GSECD26301CS</t>
        </is>
      </c>
      <c r="D21" s="19" t="inlineStr">
        <is>
          <t>GSECD26301CS00</t>
        </is>
      </c>
      <c r="E21" s="18" t="n">
        <v>3</v>
      </c>
      <c r="F21" s="18" t="n">
        <v>58.61</v>
      </c>
      <c r="G21" s="20" t="n">
        <v>175.83</v>
      </c>
      <c r="H21" s="18" t="n"/>
      <c r="I21" s="18" t="inlineStr">
        <is>
          <t>RC66570</t>
        </is>
      </c>
      <c r="J21" s="18" t="n">
        <v>3</v>
      </c>
      <c r="K21" s="21">
        <f>IF(J21="","",IF(J21=E21,"Ok",IF(J21&lt;E21,"Faltante",IF(J21&gt;E21,"Sobrante",""))))</f>
        <v/>
      </c>
      <c r="L21" s="21">
        <f>J21-E21</f>
        <v/>
      </c>
      <c r="M21" s="21" t="inlineStr">
        <is>
          <t>H11</t>
        </is>
      </c>
      <c r="N21" s="21" t="n"/>
      <c r="O21" s="21" t="n"/>
      <c r="P21" s="21" t="inlineStr">
        <is>
          <t>CAJA DETERIORADA POR HUMEDAD</t>
        </is>
      </c>
      <c r="Q21" s="21">
        <f>VLOOKUP(A21,MAESTRO!$B$2:$E$17321,4,0)</f>
        <v/>
      </c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</row>
    <row r="22" ht="14.25" customHeight="1">
      <c r="A22" s="17" t="inlineStr">
        <is>
          <t>6608028538C15</t>
        </is>
      </c>
      <c r="B22" s="17" t="inlineStr">
        <is>
          <t>FRT FENDER RH</t>
        </is>
      </c>
      <c r="C22" s="18" t="inlineStr">
        <is>
          <t>GSECD26301CS</t>
        </is>
      </c>
      <c r="D22" s="19" t="inlineStr">
        <is>
          <t>GSECD26301CS00</t>
        </is>
      </c>
      <c r="E22" s="18" t="n">
        <v>1</v>
      </c>
      <c r="F22" s="18" t="n">
        <v>58.61</v>
      </c>
      <c r="G22" s="20" t="n">
        <v>58.61</v>
      </c>
      <c r="H22" s="18" t="n"/>
      <c r="I22" s="18" t="inlineStr">
        <is>
          <t>RC66570</t>
        </is>
      </c>
      <c r="J22" s="18" t="n">
        <v>1</v>
      </c>
      <c r="K22" s="21">
        <f>IF(J22="","",IF(J22=E22,"Ok",IF(J22&lt;E22,"Faltante",IF(J22&gt;E22,"Sobrante",""))))</f>
        <v/>
      </c>
      <c r="L22" s="21">
        <f>J22-E22</f>
        <v/>
      </c>
      <c r="M22" s="21" t="inlineStr">
        <is>
          <t>H11</t>
        </is>
      </c>
      <c r="N22" s="21" t="n"/>
      <c r="O22" s="21" t="n"/>
      <c r="P22" s="21" t="inlineStr">
        <is>
          <t>CAJA DETERIORADA POR HUMEDAD</t>
        </is>
      </c>
      <c r="Q22" s="21">
        <f>VLOOKUP(A22,MAESTRO!$B$2:$E$17321,4,0)</f>
        <v/>
      </c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</row>
    <row r="23" ht="14.25" customHeight="1">
      <c r="A23" s="17" t="inlineStr">
        <is>
          <t>6608297562C15</t>
        </is>
      </c>
      <c r="B23" s="17" t="inlineStr">
        <is>
          <t>BODY ASSY-ENGINE HOOD</t>
        </is>
      </c>
      <c r="C23" s="18" t="inlineStr">
        <is>
          <t>GSECD26301CS</t>
        </is>
      </c>
      <c r="D23" s="19" t="inlineStr">
        <is>
          <t>GSECD26301CS00</t>
        </is>
      </c>
      <c r="E23" s="18" t="n">
        <v>2</v>
      </c>
      <c r="F23" s="18" t="n">
        <v>206.87</v>
      </c>
      <c r="G23" s="20" t="n">
        <v>413.74</v>
      </c>
      <c r="H23" s="18" t="n"/>
      <c r="I23" s="18" t="inlineStr">
        <is>
          <t>RC66570</t>
        </is>
      </c>
      <c r="J23" s="18" t="n">
        <v>2</v>
      </c>
      <c r="K23" s="21">
        <f>IF(J23="","",IF(J23=E23,"Ok",IF(J23&lt;E23,"Faltante",IF(J23&gt;E23,"Sobrante",""))))</f>
        <v/>
      </c>
      <c r="L23" s="21">
        <f>J23-E23</f>
        <v/>
      </c>
      <c r="M23" s="21" t="inlineStr">
        <is>
          <t>H14</t>
        </is>
      </c>
      <c r="N23" s="21" t="n"/>
      <c r="O23" s="21" t="n"/>
      <c r="P23" s="21" t="inlineStr">
        <is>
          <t>CAJA DE PROTECCION ROTA</t>
        </is>
      </c>
      <c r="Q23" s="21">
        <f>VLOOKUP(A23,MAESTRO!$B$2:$E$17321,4,0)</f>
        <v/>
      </c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</row>
    <row r="24" ht="14.25" customHeight="1">
      <c r="A24" s="17" t="inlineStr">
        <is>
          <t>6608074259</t>
        </is>
      </c>
      <c r="B24" s="17" t="inlineStr">
        <is>
          <t>LH FRT SHOCK ABSORBER ASSY</t>
        </is>
      </c>
      <c r="C24" s="18" t="inlineStr">
        <is>
          <t>GSECD26301CS</t>
        </is>
      </c>
      <c r="D24" s="19" t="inlineStr">
        <is>
          <t>GSECD26301CS00</t>
        </is>
      </c>
      <c r="E24" s="18" t="n">
        <v>5</v>
      </c>
      <c r="F24" s="18" t="n">
        <v>72.62</v>
      </c>
      <c r="G24" s="20" t="n">
        <v>363.1</v>
      </c>
      <c r="H24" s="18" t="n"/>
      <c r="I24" s="18" t="inlineStr">
        <is>
          <t>RC66570</t>
        </is>
      </c>
      <c r="J24" s="18" t="n">
        <v>5</v>
      </c>
      <c r="K24" s="21">
        <f>IF(J24="","",IF(J24=E24,"Ok",IF(J24&lt;E24,"Faltante",IF(J24&gt;E24,"Sobrante",""))))</f>
        <v/>
      </c>
      <c r="L24" s="21">
        <f>J24-E24</f>
        <v/>
      </c>
      <c r="M24" s="21" t="inlineStr">
        <is>
          <t>H44</t>
        </is>
      </c>
      <c r="N24" s="21" t="n"/>
      <c r="O24" s="21" t="n"/>
      <c r="P24" s="21" t="inlineStr">
        <is>
          <t>CAJAS DE PROTECCION APLASTADAS</t>
        </is>
      </c>
      <c r="Q24" s="21">
        <f>VLOOKUP(A24,MAESTRO!$B$2:$E$17321,4,0)</f>
        <v/>
      </c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</row>
    <row r="25" ht="14.25" customHeight="1">
      <c r="A25" s="17" t="inlineStr">
        <is>
          <t>6608074259</t>
        </is>
      </c>
      <c r="B25" s="17" t="inlineStr">
        <is>
          <t>LH FRT SHOCK ABSORBER ASSY</t>
        </is>
      </c>
      <c r="C25" s="18" t="inlineStr">
        <is>
          <t>GSECD26301CS</t>
        </is>
      </c>
      <c r="D25" s="19" t="inlineStr">
        <is>
          <t>GSECD26301CS00</t>
        </is>
      </c>
      <c r="E25" s="18" t="n">
        <v>2</v>
      </c>
      <c r="F25" s="18" t="n">
        <v>72.62</v>
      </c>
      <c r="G25" s="20" t="n">
        <v>145.24</v>
      </c>
      <c r="H25" s="18" t="n"/>
      <c r="I25" s="18" t="inlineStr">
        <is>
          <t>RC66570</t>
        </is>
      </c>
      <c r="J25" s="18" t="n">
        <v>2</v>
      </c>
      <c r="K25" s="21">
        <f>IF(J25="","",IF(J25=E25,"Ok",IF(J25&lt;E25,"Faltante",IF(J25&gt;E25,"Sobrante",""))))</f>
        <v/>
      </c>
      <c r="L25" s="21">
        <f>J25-E25</f>
        <v/>
      </c>
      <c r="M25" s="21" t="inlineStr">
        <is>
          <t>H44</t>
        </is>
      </c>
      <c r="N25" s="21" t="n"/>
      <c r="O25" s="21" t="n"/>
      <c r="P25" s="21" t="inlineStr">
        <is>
          <t>CAJAS DE PROTECCION APLASTADAS</t>
        </is>
      </c>
      <c r="Q25" s="21">
        <f>VLOOKUP(A25,MAESTRO!$B$2:$E$17321,4,0)</f>
        <v/>
      </c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</row>
    <row r="26" ht="14.25" customHeight="1">
      <c r="A26" s="22" t="inlineStr">
        <is>
          <t>6608146068</t>
        </is>
      </c>
      <c r="B26" s="22" t="inlineStr">
        <is>
          <t>TRANSMISSION OIL</t>
        </is>
      </c>
      <c r="C26" s="23" t="inlineStr">
        <is>
          <t>GSECD26301CS</t>
        </is>
      </c>
      <c r="D26" s="24" t="inlineStr">
        <is>
          <t>GSECD26301CS00</t>
        </is>
      </c>
      <c r="E26" s="23" t="n">
        <v>24</v>
      </c>
      <c r="F26" s="23" t="n">
        <v>13.44</v>
      </c>
      <c r="G26" s="25" t="n">
        <v>322.56</v>
      </c>
      <c r="H26" s="23" t="n"/>
      <c r="I26" s="23" t="inlineStr">
        <is>
          <t>RC66570</t>
        </is>
      </c>
      <c r="J26" s="23" t="n">
        <v>24</v>
      </c>
      <c r="K26" s="26">
        <f>IF(J26="","",IF(J26=E26,"Ok",IF(J26&lt;E26,"Faltante",IF(J26&gt;E26,"Sobrante",""))))</f>
        <v/>
      </c>
      <c r="L26" s="26">
        <f>J26-E26</f>
        <v/>
      </c>
      <c r="M26" s="26" t="inlineStr">
        <is>
          <t>H18</t>
        </is>
      </c>
      <c r="N26" s="26" t="n"/>
      <c r="O26" s="26" t="n"/>
      <c r="P26" s="26" t="n"/>
      <c r="Q26" s="26">
        <f>VLOOKUP(A26,MAESTRO!$B$2:$E$17321,4,0)</f>
        <v/>
      </c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</row>
    <row r="27" ht="14.25" customHeight="1">
      <c r="A27" s="22" t="inlineStr">
        <is>
          <t>6608181687C15</t>
        </is>
      </c>
      <c r="B27" s="22" t="inlineStr">
        <is>
          <t>BEAM ASSY-RR BUMPER</t>
        </is>
      </c>
      <c r="C27" s="23" t="inlineStr">
        <is>
          <t>GSECD26301CS</t>
        </is>
      </c>
      <c r="D27" s="24" t="inlineStr">
        <is>
          <t>GSECD26301CS00</t>
        </is>
      </c>
      <c r="E27" s="23" t="n">
        <v>3</v>
      </c>
      <c r="F27" s="23" t="n">
        <v>36.97</v>
      </c>
      <c r="G27" s="25" t="n">
        <v>110.91</v>
      </c>
      <c r="H27" s="23" t="n"/>
      <c r="I27" s="23" t="inlineStr">
        <is>
          <t>RC66570</t>
        </is>
      </c>
      <c r="J27" s="23" t="n">
        <v>3</v>
      </c>
      <c r="K27" s="26">
        <f>IF(J27="","",IF(J27=E27,"Ok",IF(J27&lt;E27,"Faltante",IF(J27&gt;E27,"Sobrante",""))))</f>
        <v/>
      </c>
      <c r="L27" s="26">
        <f>J27-E27</f>
        <v/>
      </c>
      <c r="M27" s="26" t="inlineStr">
        <is>
          <t>H65</t>
        </is>
      </c>
      <c r="N27" s="26" t="n"/>
      <c r="O27" s="26" t="n"/>
      <c r="P27" s="26" t="n"/>
      <c r="Q27" s="26">
        <f>VLOOKUP(A27,MAESTRO!$B$2:$E$17321,4,0)</f>
        <v/>
      </c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</row>
    <row r="28" ht="14.25" customHeight="1">
      <c r="A28" s="22" t="inlineStr">
        <is>
          <t>6608148536C15</t>
        </is>
      </c>
      <c r="B28" s="22" t="inlineStr">
        <is>
          <t>PANEL ASSY-RR END</t>
        </is>
      </c>
      <c r="C28" s="23" t="inlineStr">
        <is>
          <t>GSECD26301CS</t>
        </is>
      </c>
      <c r="D28" s="24" t="inlineStr">
        <is>
          <t>GSECD26301CS00</t>
        </is>
      </c>
      <c r="E28" s="23" t="n">
        <v>2</v>
      </c>
      <c r="F28" s="23" t="n">
        <v>84.28</v>
      </c>
      <c r="G28" s="25" t="n">
        <v>168.56</v>
      </c>
      <c r="H28" s="23" t="n"/>
      <c r="I28" s="23" t="inlineStr">
        <is>
          <t>RC66570</t>
        </is>
      </c>
      <c r="J28" s="23" t="n">
        <v>2</v>
      </c>
      <c r="K28" s="26">
        <f>IF(J28="","",IF(J28=E28,"Ok",IF(J28&lt;E28,"Faltante",IF(J28&gt;E28,"Sobrante",""))))</f>
        <v/>
      </c>
      <c r="L28" s="26">
        <f>J28-E28</f>
        <v/>
      </c>
      <c r="M28" s="26" t="inlineStr">
        <is>
          <t>H65</t>
        </is>
      </c>
      <c r="N28" s="26" t="n"/>
      <c r="O28" s="26" t="n"/>
      <c r="P28" s="26" t="n"/>
      <c r="Q28" s="26">
        <f>VLOOKUP(A28,MAESTRO!$B$2:$E$17321,4,0)</f>
        <v/>
      </c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</row>
    <row r="29" ht="14.25" customHeight="1">
      <c r="A29" s="22" t="inlineStr">
        <is>
          <t>6608107355</t>
        </is>
      </c>
      <c r="B29" s="22" t="inlineStr">
        <is>
          <t>SUBFRAME ASSY-FRT</t>
        </is>
      </c>
      <c r="C29" s="23" t="inlineStr">
        <is>
          <t>GSECD26301CS</t>
        </is>
      </c>
      <c r="D29" s="24" t="inlineStr">
        <is>
          <t>GSECD26301CS00</t>
        </is>
      </c>
      <c r="E29" s="23" t="n">
        <v>1</v>
      </c>
      <c r="F29" s="23" t="n">
        <v>96.38</v>
      </c>
      <c r="G29" s="25" t="n">
        <v>96.38</v>
      </c>
      <c r="H29" s="23" t="n"/>
      <c r="I29" s="23" t="inlineStr">
        <is>
          <t>RC66570</t>
        </is>
      </c>
      <c r="J29" s="23" t="n">
        <v>1</v>
      </c>
      <c r="K29" s="26">
        <f>IF(J29="","",IF(J29=E29,"Ok",IF(J29&lt;E29,"Faltante",IF(J29&gt;E29,"Sobrante",""))))</f>
        <v/>
      </c>
      <c r="L29" s="26">
        <f>J29-E29</f>
        <v/>
      </c>
      <c r="M29" s="26" t="inlineStr">
        <is>
          <t>H65</t>
        </is>
      </c>
      <c r="N29" s="26" t="n"/>
      <c r="O29" s="26" t="n"/>
      <c r="P29" s="26" t="n"/>
      <c r="Q29" s="26">
        <f>VLOOKUP(A29,MAESTRO!$B$2:$E$17321,4,0)</f>
        <v/>
      </c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</row>
    <row r="30" ht="14.25" customHeight="1">
      <c r="A30" s="22" t="inlineStr">
        <is>
          <t>8894997033C15</t>
        </is>
      </c>
      <c r="B30" s="22" t="inlineStr">
        <is>
          <t>PANEL ASSY-RR END</t>
        </is>
      </c>
      <c r="C30" s="23" t="inlineStr">
        <is>
          <t>GSECD26301CS</t>
        </is>
      </c>
      <c r="D30" s="24" t="inlineStr">
        <is>
          <t>GSECD26301CS00</t>
        </is>
      </c>
      <c r="E30" s="23" t="n">
        <v>1</v>
      </c>
      <c r="F30" s="23" t="n">
        <v>70.65000000000001</v>
      </c>
      <c r="G30" s="25" t="n">
        <v>70.65000000000001</v>
      </c>
      <c r="H30" s="23" t="n"/>
      <c r="I30" s="23" t="inlineStr">
        <is>
          <t>RC66570</t>
        </is>
      </c>
      <c r="J30" s="23" t="n">
        <v>1</v>
      </c>
      <c r="K30" s="26">
        <f>IF(J30="","",IF(J30=E30,"Ok",IF(J30&lt;E30,"Faltante",IF(J30&gt;E30,"Sobrante",""))))</f>
        <v/>
      </c>
      <c r="L30" s="26">
        <f>J30-E30</f>
        <v/>
      </c>
      <c r="M30" s="26" t="inlineStr">
        <is>
          <t>H63</t>
        </is>
      </c>
      <c r="N30" s="26" t="n"/>
      <c r="O30" s="26" t="n"/>
      <c r="P30" s="26" t="n"/>
      <c r="Q30" s="26">
        <f>VLOOKUP(A30,MAESTRO!$B$2:$E$17321,4,0)</f>
        <v/>
      </c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</row>
    <row r="31" ht="14.25" customHeight="1">
      <c r="A31" s="22" t="inlineStr">
        <is>
          <t>6608107001C15</t>
        </is>
      </c>
      <c r="B31" s="22" t="inlineStr">
        <is>
          <t>BEAM ASSY-RR BUMPER</t>
        </is>
      </c>
      <c r="C31" s="23" t="inlineStr">
        <is>
          <t>GSECD26301CS</t>
        </is>
      </c>
      <c r="D31" s="24" t="inlineStr">
        <is>
          <t>GSECD26301CS00</t>
        </is>
      </c>
      <c r="E31" s="23" t="n">
        <v>4</v>
      </c>
      <c r="F31" s="23" t="n">
        <v>36.14</v>
      </c>
      <c r="G31" s="25" t="n">
        <v>144.56</v>
      </c>
      <c r="H31" s="23" t="n"/>
      <c r="I31" s="23" t="inlineStr">
        <is>
          <t>RC66570</t>
        </is>
      </c>
      <c r="J31" s="23" t="n">
        <v>4</v>
      </c>
      <c r="K31" s="26">
        <f>IF(J31="","",IF(J31=E31,"Ok",IF(J31&lt;E31,"Faltante",IF(J31&gt;E31,"Sobrante",""))))</f>
        <v/>
      </c>
      <c r="L31" s="26">
        <f>J31-E31</f>
        <v/>
      </c>
      <c r="M31" s="26" t="inlineStr">
        <is>
          <t>H65</t>
        </is>
      </c>
      <c r="N31" s="26" t="n"/>
      <c r="O31" s="26" t="n"/>
      <c r="P31" s="26" t="n"/>
      <c r="Q31" s="26">
        <f>VLOOKUP(A31,MAESTRO!$B$2:$E$17321,4,0)</f>
        <v/>
      </c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</row>
    <row r="32" ht="14.25" customHeight="1">
      <c r="A32" s="22" t="inlineStr">
        <is>
          <t>6608232189C15</t>
        </is>
      </c>
      <c r="B32" s="22" t="inlineStr">
        <is>
          <t>BEAM ASSY-FRT BUMPER</t>
        </is>
      </c>
      <c r="C32" s="23" t="inlineStr">
        <is>
          <t>GSECD26301CS</t>
        </is>
      </c>
      <c r="D32" s="24" t="inlineStr">
        <is>
          <t>GSECD26301CS00</t>
        </is>
      </c>
      <c r="E32" s="23" t="n">
        <v>3</v>
      </c>
      <c r="F32" s="23" t="n">
        <v>100.58</v>
      </c>
      <c r="G32" s="25" t="n">
        <v>301.74</v>
      </c>
      <c r="H32" s="23" t="n"/>
      <c r="I32" s="23" t="inlineStr">
        <is>
          <t>RC66570</t>
        </is>
      </c>
      <c r="J32" s="23" t="n">
        <v>3</v>
      </c>
      <c r="K32" s="26">
        <f>IF(J32="","",IF(J32=E32,"Ok",IF(J32&lt;E32,"Faltante",IF(J32&gt;E32,"Sobrante",""))))</f>
        <v/>
      </c>
      <c r="L32" s="26">
        <f>J32-E32</f>
        <v/>
      </c>
      <c r="M32" s="26" t="inlineStr">
        <is>
          <t>H62</t>
        </is>
      </c>
      <c r="N32" s="26" t="n"/>
      <c r="O32" s="26" t="n"/>
      <c r="P32" s="26" t="n"/>
      <c r="Q32" s="26">
        <f>VLOOKUP(A32,MAESTRO!$B$2:$E$17321,4,0)</f>
        <v/>
      </c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</row>
    <row r="33" ht="14.25" customHeight="1">
      <c r="A33" s="22" t="inlineStr">
        <is>
          <t>6608079045C15</t>
        </is>
      </c>
      <c r="B33" s="22" t="inlineStr">
        <is>
          <t>PANEL ASSY-RR END</t>
        </is>
      </c>
      <c r="C33" s="23" t="inlineStr">
        <is>
          <t>GSECD26301CS</t>
        </is>
      </c>
      <c r="D33" s="24" t="inlineStr">
        <is>
          <t>GSECD26301CS00</t>
        </is>
      </c>
      <c r="E33" s="23" t="n">
        <v>1</v>
      </c>
      <c r="F33" s="23" t="n">
        <v>49.01</v>
      </c>
      <c r="G33" s="25" t="n">
        <v>49.01</v>
      </c>
      <c r="H33" s="23" t="n"/>
      <c r="I33" s="23" t="inlineStr">
        <is>
          <t>RC66570</t>
        </is>
      </c>
      <c r="J33" s="23" t="n">
        <v>1</v>
      </c>
      <c r="K33" s="26">
        <f>IF(J33="","",IF(J33=E33,"Ok",IF(J33&lt;E33,"Faltante",IF(J33&gt;E33,"Sobrante",""))))</f>
        <v/>
      </c>
      <c r="L33" s="26">
        <f>J33-E33</f>
        <v/>
      </c>
      <c r="M33" s="26" t="inlineStr">
        <is>
          <t>H63</t>
        </is>
      </c>
      <c r="N33" s="26" t="n"/>
      <c r="O33" s="26" t="n"/>
      <c r="P33" s="26" t="n"/>
      <c r="Q33" s="26">
        <f>VLOOKUP(A33,MAESTRO!$B$2:$E$17321,4,0)</f>
        <v/>
      </c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</row>
    <row r="34" ht="14.25" customHeight="1">
      <c r="A34" s="22" t="inlineStr">
        <is>
          <t>8894997033C15</t>
        </is>
      </c>
      <c r="B34" s="22" t="inlineStr">
        <is>
          <t>PANEL ASSY-RR END</t>
        </is>
      </c>
      <c r="C34" s="23" t="inlineStr">
        <is>
          <t>GSECD26301CS</t>
        </is>
      </c>
      <c r="D34" s="24" t="inlineStr">
        <is>
          <t>GSECD26301CS00</t>
        </is>
      </c>
      <c r="E34" s="23" t="n">
        <v>1</v>
      </c>
      <c r="F34" s="23" t="n">
        <v>70.65000000000001</v>
      </c>
      <c r="G34" s="25" t="n">
        <v>70.65000000000001</v>
      </c>
      <c r="H34" s="23" t="n"/>
      <c r="I34" s="23" t="inlineStr">
        <is>
          <t>RC66570</t>
        </is>
      </c>
      <c r="J34" s="23" t="n">
        <v>1</v>
      </c>
      <c r="K34" s="26">
        <f>IF(J34="","",IF(J34=E34,"Ok",IF(J34&lt;E34,"Faltante",IF(J34&gt;E34,"Sobrante",""))))</f>
        <v/>
      </c>
      <c r="L34" s="26">
        <f>J34-E34</f>
        <v/>
      </c>
      <c r="M34" s="26" t="inlineStr">
        <is>
          <t>H63</t>
        </is>
      </c>
      <c r="N34" s="26" t="n"/>
      <c r="O34" s="26" t="n"/>
      <c r="P34" s="26" t="n"/>
      <c r="Q34" s="26">
        <f>VLOOKUP(A34,MAESTRO!$B$2:$E$17321,4,0)</f>
        <v/>
      </c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</row>
    <row r="35" ht="14.25" customHeight="1">
      <c r="A35" s="22" t="inlineStr">
        <is>
          <t>6608021989</t>
        </is>
      </c>
      <c r="B35" s="22" t="inlineStr">
        <is>
          <t>LF DOOR GLASS</t>
        </is>
      </c>
      <c r="C35" s="23" t="inlineStr">
        <is>
          <t>GSECD26301CS</t>
        </is>
      </c>
      <c r="D35" s="24" t="inlineStr">
        <is>
          <t>GSECD26301CS00</t>
        </is>
      </c>
      <c r="E35" s="23" t="n">
        <v>6</v>
      </c>
      <c r="F35" s="23" t="n">
        <v>17.08</v>
      </c>
      <c r="G35" s="25" t="n">
        <v>102.48</v>
      </c>
      <c r="H35" s="23" t="n"/>
      <c r="I35" s="23" t="inlineStr">
        <is>
          <t>RC66570</t>
        </is>
      </c>
      <c r="J35" s="23" t="n">
        <v>6</v>
      </c>
      <c r="K35" s="26">
        <f>IF(J35="","",IF(J35=E35,"Ok",IF(J35&lt;E35,"Faltante",IF(J35&gt;E35,"Sobrante",""))))</f>
        <v/>
      </c>
      <c r="L35" s="26">
        <f>J35-E35</f>
        <v/>
      </c>
      <c r="M35" s="26" t="inlineStr">
        <is>
          <t>H31</t>
        </is>
      </c>
      <c r="N35" s="26" t="n"/>
      <c r="O35" s="26" t="n"/>
      <c r="P35" s="26" t="n"/>
      <c r="Q35" s="26">
        <f>VLOOKUP(A35,MAESTRO!$B$2:$E$17321,4,0)</f>
        <v/>
      </c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</row>
    <row r="36" ht="14.25" customHeight="1">
      <c r="A36" s="22" t="inlineStr">
        <is>
          <t>6608021988</t>
        </is>
      </c>
      <c r="B36" s="22" t="inlineStr">
        <is>
          <t>RF DOOR GLASS</t>
        </is>
      </c>
      <c r="C36" s="23" t="inlineStr">
        <is>
          <t>GSECD26301CS</t>
        </is>
      </c>
      <c r="D36" s="24" t="inlineStr">
        <is>
          <t>GSECD26301CS00</t>
        </is>
      </c>
      <c r="E36" s="23" t="n">
        <v>6</v>
      </c>
      <c r="F36" s="23" t="n">
        <v>17.08</v>
      </c>
      <c r="G36" s="25" t="n">
        <v>102.48</v>
      </c>
      <c r="H36" s="23" t="n"/>
      <c r="I36" s="23" t="inlineStr">
        <is>
          <t>RC66570</t>
        </is>
      </c>
      <c r="J36" s="23" t="n">
        <v>6</v>
      </c>
      <c r="K36" s="26">
        <f>IF(J36="","",IF(J36=E36,"Ok",IF(J36&lt;E36,"Faltante",IF(J36&gt;E36,"Sobrante",""))))</f>
        <v/>
      </c>
      <c r="L36" s="26">
        <f>J36-E36</f>
        <v/>
      </c>
      <c r="M36" s="26" t="inlineStr">
        <is>
          <t>H32</t>
        </is>
      </c>
      <c r="N36" s="26" t="n"/>
      <c r="O36" s="26" t="n"/>
      <c r="P36" s="26" t="n"/>
      <c r="Q36" s="26">
        <f>VLOOKUP(A36,MAESTRO!$B$2:$E$17321,4,0)</f>
        <v/>
      </c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</row>
    <row r="37" ht="14.25" customHeight="1">
      <c r="A37" s="22" t="inlineStr">
        <is>
          <t>6608138178</t>
        </is>
      </c>
      <c r="B37" s="22" t="inlineStr">
        <is>
          <t>B1-HABILLAGE SUP BOU</t>
        </is>
      </c>
      <c r="C37" s="23" t="inlineStr">
        <is>
          <t>GSECD26301CS</t>
        </is>
      </c>
      <c r="D37" s="24" t="inlineStr">
        <is>
          <t>GSECD26301CS00</t>
        </is>
      </c>
      <c r="E37" s="23" t="n">
        <v>4</v>
      </c>
      <c r="F37" s="23" t="n">
        <v>11.06</v>
      </c>
      <c r="G37" s="25" t="n">
        <v>44.24</v>
      </c>
      <c r="H37" s="23" t="n"/>
      <c r="I37" s="23" t="inlineStr">
        <is>
          <t>RC66570</t>
        </is>
      </c>
      <c r="J37" s="23" t="n">
        <v>4</v>
      </c>
      <c r="K37" s="26">
        <f>IF(J37="","",IF(J37=E37,"Ok",IF(J37&lt;E37,"Faltante",IF(J37&gt;E37,"Sobrante",""))))</f>
        <v/>
      </c>
      <c r="L37" s="26">
        <f>J37-E37</f>
        <v/>
      </c>
      <c r="M37" s="26" t="inlineStr">
        <is>
          <t>H04</t>
        </is>
      </c>
      <c r="N37" s="26" t="n"/>
      <c r="O37" s="26" t="n"/>
      <c r="P37" s="26" t="n"/>
      <c r="Q37" s="26">
        <f>VLOOKUP(A37,MAESTRO!$B$2:$E$17321,4,0)</f>
        <v/>
      </c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</row>
    <row r="38" ht="14.25" customHeight="1">
      <c r="A38" s="27" t="inlineStr">
        <is>
          <t>6608036072</t>
        </is>
      </c>
      <c r="B38" s="27" t="inlineStr">
        <is>
          <t>GRILLE-FRT BUMPER FASCIA LWR</t>
        </is>
      </c>
      <c r="C38" s="28" t="inlineStr">
        <is>
          <t>GSECD26301CS</t>
        </is>
      </c>
      <c r="D38" s="29" t="inlineStr">
        <is>
          <t>GSECD26301CS00</t>
        </is>
      </c>
      <c r="E38" s="28" t="n">
        <v>4</v>
      </c>
      <c r="F38" s="28" t="n">
        <v>11.75</v>
      </c>
      <c r="G38" s="30" t="n">
        <v>47</v>
      </c>
      <c r="H38" s="28" t="n"/>
      <c r="I38" s="28" t="inlineStr">
        <is>
          <t>RC66570</t>
        </is>
      </c>
      <c r="J38" s="28" t="n">
        <v>4</v>
      </c>
      <c r="K38" s="31">
        <f>IF(J38="","",IF(J38=E38,"Ok",IF(J38&lt;E38,"Faltante",IF(J38&gt;E38,"Sobrante",""))))</f>
        <v/>
      </c>
      <c r="L38" s="31">
        <f>J38-E38</f>
        <v/>
      </c>
      <c r="M38" s="31" t="inlineStr">
        <is>
          <t>H04</t>
        </is>
      </c>
      <c r="N38" s="31" t="n"/>
      <c r="O38" s="31" t="n"/>
      <c r="P38" s="31" t="n"/>
      <c r="Q38" s="31">
        <f>VLOOKUP(A38,MAESTRO!$B$2:$E$17321,4,0)</f>
        <v/>
      </c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</row>
    <row r="39" ht="14.25" customHeight="1">
      <c r="A39" s="22" t="inlineStr">
        <is>
          <t>6608128322</t>
        </is>
      </c>
      <c r="B39" s="22" t="inlineStr">
        <is>
          <t>LWR TRIM BOARD OTR DOORSILL RH</t>
        </is>
      </c>
      <c r="C39" s="23" t="inlineStr">
        <is>
          <t>GSECD26301CS</t>
        </is>
      </c>
      <c r="D39" s="24" t="inlineStr">
        <is>
          <t>GSECD26301CS00</t>
        </is>
      </c>
      <c r="E39" s="23" t="n">
        <v>10</v>
      </c>
      <c r="F39" s="23" t="n">
        <v>22.58</v>
      </c>
      <c r="G39" s="25" t="n">
        <v>225.8</v>
      </c>
      <c r="H39" s="23" t="n"/>
      <c r="I39" s="23" t="inlineStr">
        <is>
          <t>RC66570</t>
        </is>
      </c>
      <c r="J39" s="23" t="n">
        <v>10</v>
      </c>
      <c r="K39" s="26">
        <f>IF(J39="","",IF(J39=E39,"Ok",IF(J39&lt;E39,"Faltante",IF(J39&gt;E39,"Sobrante",""))))</f>
        <v/>
      </c>
      <c r="L39" s="26">
        <f>J39-E39</f>
        <v/>
      </c>
      <c r="M39" s="26" t="inlineStr">
        <is>
          <t>H04</t>
        </is>
      </c>
      <c r="N39" s="26" t="n"/>
      <c r="O39" s="26" t="n"/>
      <c r="P39" s="26" t="n"/>
      <c r="Q39" s="26">
        <f>VLOOKUP(A39,MAESTRO!$B$2:$E$17321,4,0)</f>
        <v/>
      </c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</row>
    <row r="40" ht="14.25" customHeight="1">
      <c r="A40" s="22" t="inlineStr">
        <is>
          <t>6608128321</t>
        </is>
      </c>
      <c r="B40" s="22" t="inlineStr">
        <is>
          <t>LWR TRIM BOARD OTR DOORSILL LH</t>
        </is>
      </c>
      <c r="C40" s="23" t="inlineStr">
        <is>
          <t>GSECD26301CS</t>
        </is>
      </c>
      <c r="D40" s="24" t="inlineStr">
        <is>
          <t>GSECD26301CS00</t>
        </is>
      </c>
      <c r="E40" s="23" t="n">
        <v>10</v>
      </c>
      <c r="F40" s="23" t="n">
        <v>22.58</v>
      </c>
      <c r="G40" s="25" t="n">
        <v>225.8</v>
      </c>
      <c r="H40" s="23" t="n"/>
      <c r="I40" s="23" t="inlineStr">
        <is>
          <t>RC66570</t>
        </is>
      </c>
      <c r="J40" s="23" t="n">
        <v>10</v>
      </c>
      <c r="K40" s="26">
        <f>IF(J40="","",IF(J40=E40,"Ok",IF(J40&lt;E40,"Faltante",IF(J40&gt;E40,"Sobrante",""))))</f>
        <v/>
      </c>
      <c r="L40" s="26">
        <f>J40-E40</f>
        <v/>
      </c>
      <c r="M40" s="26" t="inlineStr">
        <is>
          <t>H03</t>
        </is>
      </c>
      <c r="N40" s="26" t="n"/>
      <c r="O40" s="26" t="n"/>
      <c r="P40" s="26" t="n"/>
      <c r="Q40" s="26">
        <f>VLOOKUP(A40,MAESTRO!$B$2:$E$17321,4,0)</f>
        <v/>
      </c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</row>
    <row r="41" ht="14.25" customHeight="1">
      <c r="A41" s="22" t="inlineStr">
        <is>
          <t>6608138142</t>
        </is>
      </c>
      <c r="B41" s="22" t="inlineStr">
        <is>
          <t>FRONT BUMPER UPR BODY</t>
        </is>
      </c>
      <c r="C41" s="23" t="inlineStr">
        <is>
          <t>GSECD26301CS</t>
        </is>
      </c>
      <c r="D41" s="24" t="inlineStr">
        <is>
          <t>GSECD26301CS00</t>
        </is>
      </c>
      <c r="E41" s="23" t="n">
        <v>6</v>
      </c>
      <c r="F41" s="23" t="n">
        <v>58.69</v>
      </c>
      <c r="G41" s="25" t="n">
        <v>352.14</v>
      </c>
      <c r="H41" s="23" t="n"/>
      <c r="I41" s="23" t="inlineStr">
        <is>
          <t>RC66570</t>
        </is>
      </c>
      <c r="J41" s="23" t="n">
        <v>6</v>
      </c>
      <c r="K41" s="26">
        <f>IF(J41="","",IF(J41=E41,"Ok",IF(J41&lt;E41,"Faltante",IF(J41&gt;E41,"Sobrante",""))))</f>
        <v/>
      </c>
      <c r="L41" s="26">
        <f>J41-E41</f>
        <v/>
      </c>
      <c r="M41" s="26" t="inlineStr">
        <is>
          <t>H04</t>
        </is>
      </c>
      <c r="N41" s="26" t="n"/>
      <c r="O41" s="26" t="n"/>
      <c r="P41" s="26" t="n"/>
      <c r="Q41" s="26">
        <f>VLOOKUP(A41,MAESTRO!$B$2:$E$17321,4,0)</f>
        <v/>
      </c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Q623"/>
  <conditionalFormatting sqref="K2:K623">
    <cfRule type="containsText" priority="1" operator="containsText" dxfId="3" text="OK">
      <formula>NOT(ISERROR(SEARCH(("OK"),(K2))))</formula>
    </cfRule>
    <cfRule type="containsText" priority="2" operator="containsText" dxfId="2" text="SOBRANTE">
      <formula>NOT(ISERROR(SEARCH(("SOBRANTE"),(K2))))</formula>
    </cfRule>
    <cfRule type="containsText" priority="3" operator="containsText" dxfId="1" text="FALTANTE">
      <formula>NOT(ISERROR(SEARCH(("FALTANTE"),(K2))))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2026-10-14T01:50:15Z</dcterms:created>
  <dcterms:modified xmlns:dcterms="http://purl.org/dc/terms/" xmlns:xsi="http://www.w3.org/2001/XMLSchema-instance" xsi:type="dcterms:W3CDTF">2026-10-14T01:50:26Z</dcterms:modified>
  <cp:lastModifiedBy>FABIAN FM. MORALES</cp:lastModifiedBy>
</cp:coreProperties>
</file>